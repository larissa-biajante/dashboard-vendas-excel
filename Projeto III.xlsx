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arissa.biajante\Documents\Certificados\"/>
    </mc:Choice>
  </mc:AlternateContent>
  <xr:revisionPtr revIDLastSave="0" documentId="13_ncr:10000001_{B023B43C-5CCE-4BC1-A183-41B03A176D11}" xr6:coauthVersionLast="47" xr6:coauthVersionMax="47" xr10:uidLastSave="{00000000-0000-0000-0000-000000000000}"/>
  <bookViews>
    <workbookView xWindow="-108" yWindow="-108" windowWidth="23256" windowHeight="12576" tabRatio="0" firstSheet="4" activeTab="4" xr2:uid="{28DD5B76-0634-4F87-BE60-8BFA7EF2E23B}"/>
  </bookViews>
  <sheets>
    <sheet name="A̳ssets" sheetId="1" state="hidden" r:id="rId1"/>
    <sheet name="B̳ases" sheetId="2" state="hidden" r:id="rId2"/>
    <sheet name="Detalhes1" sheetId="5" state="hidden" r:id="rId3"/>
    <sheet name="C̳álculos" sheetId="3" state="hidden" r:id="rId4"/>
    <sheet name="D̳ashboard" sheetId="4" r:id="rId5"/>
  </sheets>
  <definedNames>
    <definedName name="SegmentaçãodeDados_Subscription_Type">#N/A</definedName>
  </definedNames>
  <calcPr calcId="191029"/>
  <pivotCaches>
    <pivotCache cacheId="0" r:id="rId6"/>
  </pivotCaches>
  <fileRecoveryPr repairLoad="1"/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3" l="1"/>
  <c r="D21" i="3"/>
</calcChain>
</file>

<file path=xl/sharedStrings.xml><?xml version="1.0" encoding="utf-8"?>
<sst xmlns="http://schemas.openxmlformats.org/spreadsheetml/2006/main" count="2623" uniqueCount="323">
  <si>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</si>
  <si>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</si>
  <si>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</si>
  <si>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</si>
  <si>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</si>
  <si>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</si>
  <si>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</si>
  <si>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</si>
  <si>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</si>
  <si>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</si>
  <si>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</si>
  <si>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</si>
  <si>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</si>
  <si>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</si>
  <si>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</si>
  <si>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</si>
  <si>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</si>
  <si>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</si>
  <si>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</si>
  <si>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</si>
  <si>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</si>
  <si>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</si>
  <si>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</si>
  <si>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</si>
  <si>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</si>
  <si>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</si>
  <si>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</si>
  <si>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</si>
  <si>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</si>
  <si>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</si>
  <si>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</si>
  <si>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</si>
  <si>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</si>
  <si>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</si>
  <si>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</si>
  <si>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</si>
  <si>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</si>
  <si>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</si>
  <si>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</si>
  <si>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</si>
  <si>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</si>
  <si>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</si>
  <si>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</si>
  <si>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</si>
  <si>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</si>
  <si>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</si>
  <si>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</si>
  <si>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</si>
  <si>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</si>
  <si>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</si>
  <si>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</si>
  <si>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</si>
  <si>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</si>
  <si>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</si>
  <si>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</si>
  <si>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</si>
  <si>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</si>
  <si>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</si>
  <si>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</si>
  <si>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</si>
  <si>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</si>
  <si>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</si>
  <si>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</si>
  <si>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</si>
  <si>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</si>
  <si>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</si>
  <si>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</si>
  <si>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</si>
  <si>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</si>
  <si>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</si>
  <si>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</si>
  <si>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</si>
  <si>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</si>
  <si>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</si>
  <si>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</si>
  <si>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</si>
  <si>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</si>
  <si>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</si>
  <si>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</si>
  <si>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</si>
  <si>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</si>
  <si>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</si>
  <si>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</si>
  <si>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</si>
  <si>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</si>
  <si>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</si>
  <si>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</si>
  <si>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</si>
  <si>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</si>
  <si>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</si>
  <si>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</si>
  <si>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</si>
  <si>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</si>
  <si>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</si>
  <si>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</si>
  <si>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</si>
  <si>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</si>
  <si>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</si>
  <si>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</si>
  <si>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</si>
  <si>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</si>
  <si>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</si>
  <si>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</si>
  <si>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</si>
  <si>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</si>
  <si>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</si>
  <si>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</si>
  <si>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</si>
  <si>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</si>
  <si>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</si>
  <si>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</si>
  <si>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</si>
  <si>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</si>
  <si>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</si>
  <si>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</si>
  <si>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</si>
  <si>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</si>
  <si>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</si>
  <si>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</si>
  <si>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</si>
  <si>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</si>
  <si>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</si>
  <si>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</si>
  <si>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</si>
  <si>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</si>
  <si>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</si>
  <si>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</si>
  <si>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</si>
  <si>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</si>
  <si>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</si>
  <si>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</si>
  <si>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</si>
  <si>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</si>
  <si>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</si>
  <si>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</si>
  <si>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</si>
  <si>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</si>
  <si>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</si>
  <si>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</si>
  <si>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</si>
  <si>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</si>
  <si>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</si>
  <si>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</si>
  <si>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</si>
  <si>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</si>
  <si>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</si>
  <si>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</si>
  <si>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</si>
  <si>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</si>
  <si>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</si>
  <si>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</si>
  <si>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</si>
  <si>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</si>
  <si>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</si>
  <si>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</si>
  <si>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</si>
  <si>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</si>
  <si>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</si>
  <si>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</si>
  <si>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</si>
  <si>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</si>
  <si>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</si>
  <si>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</si>
  <si>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</si>
  <si>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</si>
  <si>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</si>
  <si>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</si>
  <si>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</si>
  <si>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</si>
  <si>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</si>
  <si>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</si>
  <si>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</si>
  <si>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</si>
  <si>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</si>
  <si>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</si>
  <si>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</si>
  <si>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</si>
  <si>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</si>
  <si>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</si>
  <si>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</si>
  <si>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</si>
  <si>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</si>
  <si>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</si>
  <si>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</si>
  <si>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</si>
  <si>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</si>
  <si>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</si>
  <si>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</si>
  <si>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</si>
  <si>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</si>
  <si>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</si>
  <si>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</si>
  <si>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</si>
  <si>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</si>
  <si>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</si>
  <si>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</si>
  <si>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</si>
  <si>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</si>
  <si>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</si>
  <si>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</si>
  <si>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</si>
  <si>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</si>
  <si>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</si>
  <si>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</si>
  <si>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</si>
  <si>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</si>
  <si>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</si>
  <si>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</si>
  <si>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</si>
  <si>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</si>
  <si>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</si>
  <si>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</si>
  <si>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</si>
  <si>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</si>
  <si>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</si>
  <si>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</si>
  <si>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</si>
  <si>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</si>
  <si>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</si>
  <si>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</si>
  <si>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</si>
  <si>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</si>
  <si>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</si>
  <si>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</si>
  <si>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</si>
  <si>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</si>
  <si>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</si>
  <si>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</si>
  <si>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</si>
  <si>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</si>
  <si>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</si>
  <si>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</si>
  <si>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</si>
  <si>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</si>
  <si>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</si>
  <si>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</si>
  <si>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</si>
  <si>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</si>
  <si>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</si>
  <si>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</si>
  <si>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</si>
  <si>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</si>
  <si>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</si>
  <si>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</si>
  <si>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</si>
  <si>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</si>
  <si>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</si>
  <si>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</si>
  <si>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</si>
  <si>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</si>
  <si>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</si>
  <si>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</si>
  <si>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</si>
  <si>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</si>
  <si>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</si>
  <si>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</si>
  <si>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</si>
  <si>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</si>
  <si>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</si>
  <si>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</si>
  <si>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</si>
  <si>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</si>
  <si>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</si>
  <si>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</si>
  <si>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</si>
  <si>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</si>
  <si>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</si>
  <si>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</si>
  <si>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</si>
  <si>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</si>
  <si>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</si>
  <si>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</si>
  <si>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</si>
  <si>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</si>
  <si>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</si>
  <si>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</si>
  <si>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</si>
  <si>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</si>
  <si>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</si>
  <si>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</si>
  <si>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</si>
  <si>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</si>
  <si>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</si>
  <si>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</si>
  <si>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</si>
  <si>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</si>
  <si>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</si>
  <si>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</si>
  <si>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</si>
  <si>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</si>
  <si>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</si>
  <si>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</si>
  <si>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</si>
  <si>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</si>
  <si>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</si>
  <si>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</si>
  <si>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</si>
  <si>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</si>
  <si>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</si>
  <si>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</si>
  <si>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</si>
  <si>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</si>
  <si>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</si>
  <si>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</si>
  <si>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</si>
  <si>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</si>
  <si>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</si>
  <si>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</si>
  <si>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</si>
  <si>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</si>
  <si>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</si>
  <si>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</si>
  <si>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</si>
  <si>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1. Qual o faturamento total de vendas de planos anuais (contendo todas as assinaturas agregadas)</t>
  </si>
  <si>
    <t>Rótulos de Linha</t>
  </si>
  <si>
    <t>Total Geral</t>
  </si>
  <si>
    <t>Soma de Total Value</t>
  </si>
  <si>
    <t xml:space="preserve">2. Qual o faturamento total de vendas de planos anuais, separado por auto renovação não é por auto renovação </t>
  </si>
  <si>
    <t>XBOX GAME PASS SUBSCRIPTIONS SALES</t>
  </si>
  <si>
    <t>3. Total de Vendas de Assinaturas do EA Play</t>
  </si>
  <si>
    <t>Soma de EA Play Season Pass</t>
  </si>
  <si>
    <t>Detalhes do Soma de EA Play Season Pass - Plan: Ultimate, Subscription Type: Annual (+)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</si>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</sst>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AE6B1"/>
      <name val="Segoe UI"/>
      <family val="2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1" applyFont="1" applyBorder="1"/>
    <xf numFmtId="14" fontId="0" fillId="0" borderId="0" xfId="0" applyNumberFormat="1"/>
    <xf numFmtId="0" fontId="3" fillId="0" borderId="0" xfId="0" applyFont="1"/>
    <xf numFmtId="0" fontId="0" fillId="0" borderId="0" xfId="0" applyNumberFormat="1"/>
    <xf numFmtId="165" fontId="0" fillId="0" borderId="0" xfId="0" applyNumberFormat="1"/>
    <xf numFmtId="0" fontId="0" fillId="0" borderId="2" xfId="0" applyBorder="1"/>
    <xf numFmtId="0" fontId="5" fillId="0" borderId="2" xfId="1" applyFont="1" applyBorder="1" applyAlignment="1">
      <alignment horizontal="left" indent="8"/>
    </xf>
  </cellXfs>
  <cellStyles count="3">
    <cellStyle name="Moeda" xfId="2" builtinId="4"/>
    <cellStyle name="Normal" xfId="0" builtinId="0"/>
    <cellStyle name="Título 1" xfId="1" builtinId="16"/>
  </cellStyles>
  <dxfs count="19"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6 2" pivot="0" table="0" count="10" xr9:uid="{C81AE470-AA15-4948-86B7-8CD4B928F3D5}">
      <tableStyleElement type="wholeTable" dxfId="18"/>
      <tableStyleElement type="headerRow" dxfId="17"/>
    </tableStyle>
    <tableStyle name="SlicerStyleLight6 2 2" pivot="0" table="0" count="10" xr9:uid="{A8C463E0-463D-4E0C-A31B-1017973C5DFA}">
      <tableStyleElement type="wholeTable" dxfId="16"/>
      <tableStyleElement type="headerRow" dxfId="15"/>
    </tableStyle>
  </tableStyles>
  <colors>
    <mruColors>
      <color rgb="FF22C55E"/>
      <color rgb="FF22E55E"/>
      <color rgb="FFE8E6E9"/>
      <color rgb="FF2AE6B1"/>
      <color rgb="FFFFFFFF"/>
      <color rgb="FF5BF6A8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III.xlsx]C̳álculos!tbl_annual_total</c:name>
    <c:fmtId val="8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317485623850132E-2"/>
          <c:y val="5.0925925925925923E-2"/>
          <c:w val="0.94887865926746762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C-4E48-BFCE-19CDF61D6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1751312"/>
        <c:axId val="1741760432"/>
      </c:barChart>
      <c:catAx>
        <c:axId val="1741751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1760432"/>
        <c:crosses val="autoZero"/>
        <c:auto val="1"/>
        <c:lblAlgn val="ctr"/>
        <c:lblOffset val="100"/>
        <c:noMultiLvlLbl val="0"/>
      </c:catAx>
      <c:valAx>
        <c:axId val="174176043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4175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112182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112182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237508</xdr:colOff>
      <xdr:row>0</xdr:row>
      <xdr:rowOff>142875</xdr:rowOff>
    </xdr:from>
    <xdr:to>
      <xdr:col>2</xdr:col>
      <xdr:colOff>533399</xdr:colOff>
      <xdr:row>2</xdr:row>
      <xdr:rowOff>47625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D0CAFDE-AE0C-4081-9F5A-0CE51D3801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31" t="18307" r="72254" b="18633"/>
        <a:stretch>
          <a:fillRect/>
        </a:stretch>
      </xdr:blipFill>
      <xdr:spPr>
        <a:xfrm>
          <a:off x="2161558" y="142875"/>
          <a:ext cx="543541" cy="58102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28576</xdr:colOff>
      <xdr:row>7</xdr:row>
      <xdr:rowOff>228600</xdr:rowOff>
    </xdr:from>
    <xdr:to>
      <xdr:col>0</xdr:col>
      <xdr:colOff>1857376</xdr:colOff>
      <xdr:row>21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D7A10686-3729-4377-88B6-7846E2EACD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6" y="160020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457199</xdr:colOff>
      <xdr:row>7</xdr:row>
      <xdr:rowOff>4762</xdr:rowOff>
    </xdr:from>
    <xdr:to>
      <xdr:col>10</xdr:col>
      <xdr:colOff>66674</xdr:colOff>
      <xdr:row>16</xdr:row>
      <xdr:rowOff>80962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461DA267-AC0D-7826-A646-CD64E6F9CF91}"/>
            </a:ext>
          </a:extLst>
        </xdr:cNvPr>
        <xdr:cNvGrpSpPr/>
      </xdr:nvGrpSpPr>
      <xdr:grpSpPr>
        <a:xfrm>
          <a:off x="2628899" y="1376362"/>
          <a:ext cx="4486275" cy="1943100"/>
          <a:chOff x="2628899" y="1371600"/>
          <a:chExt cx="4486275" cy="194310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FBFEBAAA-4B81-1F4D-0D58-A7D2A76B0BE9}"/>
              </a:ext>
            </a:extLst>
          </xdr:cNvPr>
          <xdr:cNvSpPr/>
        </xdr:nvSpPr>
        <xdr:spPr>
          <a:xfrm>
            <a:off x="2628899" y="1371600"/>
            <a:ext cx="4486275" cy="1943100"/>
          </a:xfrm>
          <a:prstGeom prst="roundRect">
            <a:avLst>
              <a:gd name="adj" fmla="val 588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1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9B4E0373-413A-4B6D-A24B-031AD7375AC8}"/>
              </a:ext>
            </a:extLst>
          </xdr:cNvPr>
          <xdr:cNvSpPr/>
        </xdr:nvSpPr>
        <xdr:spPr>
          <a:xfrm>
            <a:off x="3981450" y="1918335"/>
            <a:ext cx="2800350" cy="115252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1245178-3E15-420E-AFA6-C14C4F47FB1A}" type="TxLink">
              <a:rPr lang="en-US" sz="32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R$ 990,00</a:t>
            </a:fld>
            <a:endParaRPr lang="pt-BR" sz="32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E45D7711-C45C-4CE9-A85F-BD784885E7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48000" y="1981200"/>
            <a:ext cx="1125569" cy="1076325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A7261D73-C2FD-3692-7850-294E4CA0AAE6}"/>
              </a:ext>
            </a:extLst>
          </xdr:cNvPr>
          <xdr:cNvSpPr/>
        </xdr:nvSpPr>
        <xdr:spPr>
          <a:xfrm>
            <a:off x="2628899" y="1371600"/>
            <a:ext cx="4486275" cy="4095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323850</xdr:colOff>
      <xdr:row>7</xdr:row>
      <xdr:rowOff>4762</xdr:rowOff>
    </xdr:from>
    <xdr:to>
      <xdr:col>19</xdr:col>
      <xdr:colOff>95250</xdr:colOff>
      <xdr:row>16</xdr:row>
      <xdr:rowOff>80962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EC37A90E-2E7A-0E9B-4CCA-0E74277BB9BE}"/>
            </a:ext>
          </a:extLst>
        </xdr:cNvPr>
        <xdr:cNvGrpSpPr/>
      </xdr:nvGrpSpPr>
      <xdr:grpSpPr>
        <a:xfrm>
          <a:off x="7981950" y="1376362"/>
          <a:ext cx="4486275" cy="1943100"/>
          <a:chOff x="7981950" y="1381125"/>
          <a:chExt cx="4486275" cy="1943100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1B0FFFD1-2677-197C-10E0-27201C40B3B0}"/>
              </a:ext>
            </a:extLst>
          </xdr:cNvPr>
          <xdr:cNvSpPr/>
        </xdr:nvSpPr>
        <xdr:spPr>
          <a:xfrm>
            <a:off x="7981950" y="1381125"/>
            <a:ext cx="4486275" cy="1943100"/>
          </a:xfrm>
          <a:prstGeom prst="roundRect">
            <a:avLst>
              <a:gd name="adj" fmla="val 588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32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2F0DC0C0-6F60-8511-BE57-88EDCF916F28}"/>
              </a:ext>
            </a:extLst>
          </xdr:cNvPr>
          <xdr:cNvSpPr/>
        </xdr:nvSpPr>
        <xdr:spPr>
          <a:xfrm>
            <a:off x="9334501" y="1927860"/>
            <a:ext cx="2800350" cy="115252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79F12DD-DE2A-4F82-B363-9DF21A104327}" type="TxLink">
              <a:rPr lang="en-US" sz="32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R$ 1.140,00</a:t>
            </a:fld>
            <a:endParaRPr lang="pt-BR" sz="72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F0D117DF-C462-D8EB-12A0-BAC9B5BDAC05}"/>
              </a:ext>
            </a:extLst>
          </xdr:cNvPr>
          <xdr:cNvSpPr/>
        </xdr:nvSpPr>
        <xdr:spPr>
          <a:xfrm>
            <a:off x="7981950" y="1381125"/>
            <a:ext cx="4486275" cy="4095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MINECRAFT SEASON PASS</a:t>
            </a:r>
          </a:p>
        </xdr:txBody>
      </xdr: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C49E2539-FC61-490E-AB64-6B3B93A87460}"/>
              </a:ext>
            </a:extLst>
          </xdr:cNvPr>
          <xdr:cNvGrpSpPr/>
        </xdr:nvGrpSpPr>
        <xdr:grpSpPr>
          <a:xfrm>
            <a:off x="8439150" y="2219325"/>
            <a:ext cx="971550" cy="552450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2AFCF3F9-6241-B4A4-5773-659AB6143B6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F2DADFC9-2D2B-8B7E-D0E1-AC6C3F8A49A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409575</xdr:colOff>
      <xdr:row>18</xdr:row>
      <xdr:rowOff>9525</xdr:rowOff>
    </xdr:from>
    <xdr:to>
      <xdr:col>19</xdr:col>
      <xdr:colOff>66675</xdr:colOff>
      <xdr:row>33</xdr:row>
      <xdr:rowOff>171450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0F5AC5DE-A359-AB21-E114-57F3DFB5D572}"/>
            </a:ext>
          </a:extLst>
        </xdr:cNvPr>
        <xdr:cNvGrpSpPr/>
      </xdr:nvGrpSpPr>
      <xdr:grpSpPr>
        <a:xfrm>
          <a:off x="2581275" y="3609975"/>
          <a:ext cx="9858375" cy="2876550"/>
          <a:chOff x="2581275" y="3609975"/>
          <a:chExt cx="9858375" cy="2876550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27F523B0-7A8C-C803-6A80-84BD7A45385E}"/>
              </a:ext>
            </a:extLst>
          </xdr:cNvPr>
          <xdr:cNvGrpSpPr/>
        </xdr:nvGrpSpPr>
        <xdr:grpSpPr>
          <a:xfrm>
            <a:off x="2581275" y="3609975"/>
            <a:ext cx="9848850" cy="2876550"/>
            <a:chOff x="2438401" y="1114425"/>
            <a:chExt cx="4695824" cy="287655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F20CE86C-338A-201D-F410-36D90EE8F4E9}"/>
                </a:ext>
              </a:extLst>
            </xdr:cNvPr>
            <xdr:cNvSpPr/>
          </xdr:nvSpPr>
          <xdr:spPr>
            <a:xfrm>
              <a:off x="2438401" y="1114425"/>
              <a:ext cx="4695824" cy="2876550"/>
            </a:xfrm>
            <a:prstGeom prst="roundRect">
              <a:avLst>
                <a:gd name="adj" fmla="val 872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76A6CAA1-A6FA-4645-8B9D-A6FD8DAA49C7}"/>
                </a:ext>
              </a:extLst>
            </xdr:cNvPr>
            <xdr:cNvGraphicFramePr>
              <a:graphicFrameLocks/>
            </xdr:cNvGraphicFramePr>
          </xdr:nvGraphicFramePr>
          <xdr:xfrm>
            <a:off x="2562225" y="1247775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23A8132A-1F13-45D5-AD8D-8BD75E5174D5}"/>
              </a:ext>
            </a:extLst>
          </xdr:cNvPr>
          <xdr:cNvSpPr/>
        </xdr:nvSpPr>
        <xdr:spPr>
          <a:xfrm>
            <a:off x="2581275" y="3609975"/>
            <a:ext cx="9858375" cy="4095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XBOX GAME PASS</a:t>
            </a:r>
          </a:p>
        </xdr:txBody>
      </xdr:sp>
    </xdr:grpSp>
    <xdr:clientData/>
  </xdr:twoCellAnchor>
  <xdr:twoCellAnchor editAs="absolute">
    <xdr:from>
      <xdr:col>0</xdr:col>
      <xdr:colOff>519114</xdr:colOff>
      <xdr:row>0</xdr:row>
      <xdr:rowOff>180974</xdr:rowOff>
    </xdr:from>
    <xdr:to>
      <xdr:col>0</xdr:col>
      <xdr:colOff>1366839</xdr:colOff>
      <xdr:row>3</xdr:row>
      <xdr:rowOff>9524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127C46D2-EB45-4AA2-AE9E-E49BCA7F5831}"/>
            </a:ext>
          </a:extLst>
        </xdr:cNvPr>
        <xdr:cNvSpPr/>
      </xdr:nvSpPr>
      <xdr:spPr>
        <a:xfrm>
          <a:off x="519114" y="180974"/>
          <a:ext cx="847725" cy="75247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138114</xdr:colOff>
      <xdr:row>3</xdr:row>
      <xdr:rowOff>57150</xdr:rowOff>
    </xdr:from>
    <xdr:to>
      <xdr:col>0</xdr:col>
      <xdr:colOff>1747839</xdr:colOff>
      <xdr:row>7</xdr:row>
      <xdr:rowOff>0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5C8DC9E8-0BD0-6324-07B5-0FB9A9DEE67B}"/>
            </a:ext>
          </a:extLst>
        </xdr:cNvPr>
        <xdr:cNvSpPr/>
      </xdr:nvSpPr>
      <xdr:spPr>
        <a:xfrm>
          <a:off x="138114" y="981075"/>
          <a:ext cx="1609725" cy="3905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BEM VINDA LARI</a:t>
          </a:r>
        </a:p>
      </xdr:txBody>
    </xdr:sp>
    <xdr:clientData/>
  </xdr:twoCellAnchor>
  <xdr:twoCellAnchor editAs="absolute">
    <xdr:from>
      <xdr:col>2</xdr:col>
      <xdr:colOff>361950</xdr:colOff>
      <xdr:row>3</xdr:row>
      <xdr:rowOff>66676</xdr:rowOff>
    </xdr:from>
    <xdr:to>
      <xdr:col>12</xdr:col>
      <xdr:colOff>152400</xdr:colOff>
      <xdr:row>6</xdr:row>
      <xdr:rowOff>85726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CCC271F2-56D4-468D-A039-D59108B81334}"/>
            </a:ext>
          </a:extLst>
        </xdr:cNvPr>
        <xdr:cNvSpPr/>
      </xdr:nvSpPr>
      <xdr:spPr>
        <a:xfrm>
          <a:off x="2533650" y="990601"/>
          <a:ext cx="5724525" cy="3429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PERÍODO</a:t>
          </a:r>
          <a:r>
            <a:rPr lang="pt-BR" sz="1100" b="1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DE APURAÇÃO: 01/01/2024 - 25/12/2024 </a:t>
          </a:r>
        </a:p>
      </xdr:txBody>
    </xdr:sp>
    <xdr:clientData/>
  </xdr:twoCellAnchor>
  <xdr:twoCellAnchor editAs="absolute">
    <xdr:from>
      <xdr:col>0</xdr:col>
      <xdr:colOff>19051</xdr:colOff>
      <xdr:row>13</xdr:row>
      <xdr:rowOff>171450</xdr:rowOff>
    </xdr:from>
    <xdr:to>
      <xdr:col>0</xdr:col>
      <xdr:colOff>1819275</xdr:colOff>
      <xdr:row>17</xdr:row>
      <xdr:rowOff>9525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C2E2215E-FCCA-4D92-94AE-FA159D756C5A}"/>
            </a:ext>
          </a:extLst>
        </xdr:cNvPr>
        <xdr:cNvSpPr/>
      </xdr:nvSpPr>
      <xdr:spPr>
        <a:xfrm>
          <a:off x="19051" y="2867025"/>
          <a:ext cx="1800224" cy="5619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 baseline="0">
              <a:solidFill>
                <a:schemeClr val="lt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UPDATE DATE: 14/02/2026 22:51</a:t>
          </a:r>
          <a:endParaRPr lang="pt-BR" sz="900" b="1">
            <a:effectLst/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RISSA BIAJANTE" refreshedDate="46067.90750011574" createdVersion="8" refreshedVersion="8" minRefreshableVersion="3" recordCount="295" xr:uid="{FC48DE73-5BA4-4959-83E3-09DD766E9FE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068062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46373-E2B1-4619-AD21-DA8405D6D34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28:C3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DA5E6E-FDE9-4697-8C7E-ABD29E45C32D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058C2-27EF-43EB-8387-F9264D83190C}" name="tbl_eaplay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17:C2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BAEDFE7-C6BA-4499-99BF-6313D276498F}" sourceName="Subscription Type">
  <pivotTables>
    <pivotTable tabId="3" name="tbl_annual_total"/>
    <pivotTable tabId="3" name="tbl_eaplay"/>
    <pivotTable tabId="3" name="Tabela dinâmica1"/>
  </pivotTables>
  <data>
    <tabular pivotCacheId="190680626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BA0AFB7-6786-4B91-84D3-FC6C4B257543}" cache="SegmentaçãodeDados_Subscription_Type" caption="Subscription Type" style="SlicerStyleLight6 2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4">
  <autoFilter ref="A1:M296" xr:uid="{34E0E886-4200-4B36-97B3-63DB74FF40A0}"/>
  <tableColumns count="13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6" xr3:uid="{78B82374-9AA7-4E38-AE4F-78CDE6C83720}" name="Subscription Price" dataDxfId="8" dataCellStyle="Moeda"/>
    <tableColumn id="7" xr3:uid="{F2433F68-AF33-49D0-B1FB-19A396074EDE}" name="Subscription Type" dataDxfId="7"/>
    <tableColumn id="8" xr3:uid="{FD4D9C95-F6E5-4933-9068-A71FF7DF9343}" name="EA Play Season Pass" dataDxfId="6"/>
    <tableColumn id="13" xr3:uid="{978DD0D2-834E-4CE4-A39B-30976086932F}" name="EA Play Season Pass_x000a_Price" dataDxfId="5" dataCellStyle="Moeda"/>
    <tableColumn id="9" xr3:uid="{6E29F111-C395-4580-9DAD-3407D9E8B1A4}" name="Minecraft Season Pass" dataDxfId="4"/>
    <tableColumn id="10" xr3:uid="{EF544EAA-7F25-4FD5-A10E-8E62804DB9E3}" name="Minecraft Season Pass Price" dataDxfId="3" dataCellStyle="Moeda"/>
    <tableColumn id="11" xr3:uid="{7F6EB64A-1F07-4E48-9F0F-AC7D9DCD26F8}" name="Coupon Value" dataDxfId="2" dataCellStyle="Moeda"/>
    <tableColumn id="12" xr3:uid="{2B04ABC8-DE6F-426E-ADC0-D8AFC68CA58E}" name="Total Value" dataDxfId="1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7C350E-F1F2-4A6A-8050-C05BE94E766E}" name="Tabela2" displayName="Tabela2" ref="A3:M101" totalsRowShown="0">
  <autoFilter ref="A3:M101" xr:uid="{D67C350E-F1F2-4A6A-8050-C05BE94E766E}"/>
  <tableColumns count="13">
    <tableColumn id="1" xr3:uid="{2A476792-A59D-44A8-93AC-F1D7A0DC678C}" name="Subscriber ID"/>
    <tableColumn id="2" xr3:uid="{41C011E4-6558-42C7-A591-54BFEEB9AD12}" name="Name"/>
    <tableColumn id="3" xr3:uid="{39CB4B57-E4E3-447E-8178-0E5D4270C4B0}" name="Plan"/>
    <tableColumn id="4" xr3:uid="{0D9E9EB9-3434-42E3-82C2-47F51BC8CE0D}" name="Start Date" dataDxfId="0"/>
    <tableColumn id="5" xr3:uid="{8B6FD595-097D-4D9E-B784-899195B91FEC}" name="Auto Renewal"/>
    <tableColumn id="6" xr3:uid="{9E89DED3-E5D4-4E70-9DCE-2514A60F697B}" name="Subscription Price"/>
    <tableColumn id="7" xr3:uid="{343F42C5-DF40-48B3-A262-187B32015AF2}" name="Subscription Type"/>
    <tableColumn id="8" xr3:uid="{C141051D-618F-441E-9AC5-0720DDBDD020}" name="EA Play Season Pass"/>
    <tableColumn id="9" xr3:uid="{A94FBC9F-3749-46E7-A304-9E716AEFDD8B}" name="EA Play Season Pass_x000a_Price"/>
    <tableColumn id="10" xr3:uid="{D8792532-3FF8-41D8-8189-6ACC7FBF2E43}" name="Minecraft Season Pass"/>
    <tableColumn id="11" xr3:uid="{1A3CACEB-1373-45A5-9965-1B08DF497778}" name="Minecraft Season Pass Price"/>
    <tableColumn id="12" xr3:uid="{7E07CD1B-D1E6-4213-8A61-604ACA241AD2}" name="Coupon Value"/>
    <tableColumn id="13" xr3:uid="{7A521C9D-26E4-4719-A263-252A945857AE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D32" sqref="D32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D32" sqref="D32"/>
    </sheetView>
  </sheetViews>
  <sheetFormatPr defaultRowHeight="14.4" x14ac:dyDescent="0.3"/>
  <cols>
    <col min="1" max="1" width="17.88671875" bestFit="1" customWidth="1"/>
    <col min="2" max="2" width="18.21875" bestFit="1" customWidth="1"/>
    <col min="3" max="3" width="9.88671875" bestFit="1" customWidth="1"/>
    <col min="4" max="4" width="14.5546875" bestFit="1" customWidth="1"/>
    <col min="5" max="5" width="18" bestFit="1" customWidth="1"/>
    <col min="6" max="6" width="22" bestFit="1" customWidth="1"/>
    <col min="7" max="7" width="21.6640625" customWidth="1"/>
    <col min="8" max="9" width="23.6640625" bestFit="1" customWidth="1"/>
    <col min="10" max="10" width="25.6640625" bestFit="1" customWidth="1"/>
    <col min="11" max="11" width="30.5546875" bestFit="1" customWidth="1"/>
    <col min="12" max="12" width="18.21875" bestFit="1" customWidth="1"/>
    <col min="13" max="13" width="15.664062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4.4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4.4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CD93F-75A9-48FD-B616-71702A01FFD7}">
  <sheetPr>
    <tabColor theme="3" tint="0.749992370372631"/>
  </sheetPr>
  <dimension ref="A1:M101"/>
  <sheetViews>
    <sheetView workbookViewId="0">
      <selection activeCell="D32" sqref="D32"/>
    </sheetView>
  </sheetViews>
  <sheetFormatPr defaultRowHeight="14.4" x14ac:dyDescent="0.3"/>
  <cols>
    <col min="1" max="1" width="14.44140625" bestFit="1" customWidth="1"/>
    <col min="2" max="2" width="17.44140625" bestFit="1" customWidth="1"/>
    <col min="3" max="3" width="9" bestFit="1" customWidth="1"/>
    <col min="4" max="4" width="11.5546875" bestFit="1" customWidth="1"/>
    <col min="5" max="5" width="14.33203125" bestFit="1" customWidth="1"/>
    <col min="6" max="6" width="18.6640625" bestFit="1" customWidth="1"/>
    <col min="7" max="7" width="18.21875" bestFit="1" customWidth="1"/>
    <col min="8" max="8" width="20" bestFit="1" customWidth="1"/>
    <col min="9" max="9" width="25.21875" bestFit="1" customWidth="1"/>
    <col min="10" max="10" width="21.88671875" bestFit="1" customWidth="1"/>
    <col min="11" max="11" width="26.6640625" bestFit="1" customWidth="1"/>
    <col min="12" max="12" width="14.5546875" bestFit="1" customWidth="1"/>
    <col min="13" max="13" width="12.33203125" bestFit="1" customWidth="1"/>
  </cols>
  <sheetData>
    <row r="1" spans="1:13" x14ac:dyDescent="0.3">
      <c r="A1" s="17" t="s">
        <v>321</v>
      </c>
    </row>
    <row r="3" spans="1:13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3">
      <c r="A4">
        <v>3231</v>
      </c>
      <c r="B4" t="s">
        <v>17</v>
      </c>
      <c r="C4" t="s">
        <v>18</v>
      </c>
      <c r="D4" s="16">
        <v>45292</v>
      </c>
      <c r="E4" t="s">
        <v>19</v>
      </c>
      <c r="F4">
        <v>15</v>
      </c>
      <c r="G4" t="s">
        <v>20</v>
      </c>
      <c r="H4" t="s">
        <v>19</v>
      </c>
      <c r="I4">
        <v>30</v>
      </c>
      <c r="J4" t="s">
        <v>19</v>
      </c>
      <c r="K4">
        <v>20</v>
      </c>
      <c r="L4">
        <v>5</v>
      </c>
      <c r="M4">
        <v>60</v>
      </c>
    </row>
    <row r="5" spans="1:13" x14ac:dyDescent="0.3">
      <c r="A5">
        <v>3523</v>
      </c>
      <c r="B5" t="s">
        <v>306</v>
      </c>
      <c r="C5" t="s">
        <v>18</v>
      </c>
      <c r="D5" s="16">
        <v>45640</v>
      </c>
      <c r="E5" t="s">
        <v>23</v>
      </c>
      <c r="F5">
        <v>15</v>
      </c>
      <c r="G5" t="s">
        <v>20</v>
      </c>
      <c r="H5" t="s">
        <v>19</v>
      </c>
      <c r="I5">
        <v>30</v>
      </c>
      <c r="J5" t="s">
        <v>19</v>
      </c>
      <c r="K5">
        <v>20</v>
      </c>
      <c r="L5">
        <v>3</v>
      </c>
      <c r="M5">
        <v>62</v>
      </c>
    </row>
    <row r="6" spans="1:13" x14ac:dyDescent="0.3">
      <c r="A6">
        <v>3520</v>
      </c>
      <c r="B6" t="s">
        <v>303</v>
      </c>
      <c r="C6" t="s">
        <v>18</v>
      </c>
      <c r="D6" s="16">
        <v>45637</v>
      </c>
      <c r="E6" t="s">
        <v>19</v>
      </c>
      <c r="F6">
        <v>15</v>
      </c>
      <c r="G6" t="s">
        <v>24</v>
      </c>
      <c r="H6" t="s">
        <v>19</v>
      </c>
      <c r="I6">
        <v>30</v>
      </c>
      <c r="J6" t="s">
        <v>19</v>
      </c>
      <c r="K6">
        <v>20</v>
      </c>
      <c r="L6">
        <v>5</v>
      </c>
      <c r="M6">
        <v>60</v>
      </c>
    </row>
    <row r="7" spans="1:13" x14ac:dyDescent="0.3">
      <c r="A7">
        <v>3234</v>
      </c>
      <c r="B7" t="s">
        <v>28</v>
      </c>
      <c r="C7" t="s">
        <v>18</v>
      </c>
      <c r="D7" s="16">
        <v>45342</v>
      </c>
      <c r="E7" t="s">
        <v>23</v>
      </c>
      <c r="F7">
        <v>15</v>
      </c>
      <c r="G7" t="s">
        <v>20</v>
      </c>
      <c r="H7" t="s">
        <v>19</v>
      </c>
      <c r="I7">
        <v>30</v>
      </c>
      <c r="J7" t="s">
        <v>19</v>
      </c>
      <c r="K7">
        <v>20</v>
      </c>
      <c r="L7">
        <v>3</v>
      </c>
      <c r="M7">
        <v>62</v>
      </c>
    </row>
    <row r="8" spans="1:13" x14ac:dyDescent="0.3">
      <c r="A8">
        <v>3517</v>
      </c>
      <c r="B8" t="s">
        <v>210</v>
      </c>
      <c r="C8" t="s">
        <v>18</v>
      </c>
      <c r="D8" s="16">
        <v>45634</v>
      </c>
      <c r="E8" t="s">
        <v>23</v>
      </c>
      <c r="F8">
        <v>15</v>
      </c>
      <c r="G8" t="s">
        <v>20</v>
      </c>
      <c r="H8" t="s">
        <v>19</v>
      </c>
      <c r="I8">
        <v>30</v>
      </c>
      <c r="J8" t="s">
        <v>19</v>
      </c>
      <c r="K8">
        <v>20</v>
      </c>
      <c r="L8">
        <v>20</v>
      </c>
      <c r="M8">
        <v>45</v>
      </c>
    </row>
    <row r="9" spans="1:13" x14ac:dyDescent="0.3">
      <c r="A9">
        <v>3514</v>
      </c>
      <c r="B9" t="s">
        <v>300</v>
      </c>
      <c r="C9" t="s">
        <v>18</v>
      </c>
      <c r="D9" s="16">
        <v>45631</v>
      </c>
      <c r="E9" t="s">
        <v>19</v>
      </c>
      <c r="F9">
        <v>15</v>
      </c>
      <c r="G9" t="s">
        <v>27</v>
      </c>
      <c r="H9" t="s">
        <v>19</v>
      </c>
      <c r="I9">
        <v>30</v>
      </c>
      <c r="J9" t="s">
        <v>19</v>
      </c>
      <c r="K9">
        <v>20</v>
      </c>
      <c r="L9">
        <v>7</v>
      </c>
      <c r="M9">
        <v>58</v>
      </c>
    </row>
    <row r="10" spans="1:13" x14ac:dyDescent="0.3">
      <c r="A10">
        <v>3237</v>
      </c>
      <c r="B10" t="s">
        <v>35</v>
      </c>
      <c r="C10" t="s">
        <v>18</v>
      </c>
      <c r="D10" s="16">
        <v>45354</v>
      </c>
      <c r="E10" t="s">
        <v>19</v>
      </c>
      <c r="F10">
        <v>15</v>
      </c>
      <c r="G10" t="s">
        <v>27</v>
      </c>
      <c r="H10" t="s">
        <v>19</v>
      </c>
      <c r="I10">
        <v>30</v>
      </c>
      <c r="J10" t="s">
        <v>19</v>
      </c>
      <c r="K10">
        <v>20</v>
      </c>
      <c r="L10">
        <v>10</v>
      </c>
      <c r="M10">
        <v>55</v>
      </c>
    </row>
    <row r="11" spans="1:13" x14ac:dyDescent="0.3">
      <c r="A11">
        <v>3511</v>
      </c>
      <c r="B11" t="s">
        <v>297</v>
      </c>
      <c r="C11" t="s">
        <v>18</v>
      </c>
      <c r="D11" s="16">
        <v>45628</v>
      </c>
      <c r="E11" t="s">
        <v>23</v>
      </c>
      <c r="F11">
        <v>15</v>
      </c>
      <c r="G11" t="s">
        <v>20</v>
      </c>
      <c r="H11" t="s">
        <v>19</v>
      </c>
      <c r="I11">
        <v>30</v>
      </c>
      <c r="J11" t="s">
        <v>19</v>
      </c>
      <c r="K11">
        <v>20</v>
      </c>
      <c r="L11">
        <v>15</v>
      </c>
      <c r="M11">
        <v>50</v>
      </c>
    </row>
    <row r="12" spans="1:13" x14ac:dyDescent="0.3">
      <c r="A12">
        <v>3239</v>
      </c>
      <c r="B12" t="s">
        <v>37</v>
      </c>
      <c r="C12" t="s">
        <v>18</v>
      </c>
      <c r="D12" s="16">
        <v>45356</v>
      </c>
      <c r="E12" t="s">
        <v>23</v>
      </c>
      <c r="F12">
        <v>15</v>
      </c>
      <c r="G12" t="s">
        <v>20</v>
      </c>
      <c r="H12" t="s">
        <v>19</v>
      </c>
      <c r="I12">
        <v>30</v>
      </c>
      <c r="J12" t="s">
        <v>19</v>
      </c>
      <c r="K12">
        <v>20</v>
      </c>
      <c r="L12">
        <v>5</v>
      </c>
      <c r="M12">
        <v>60</v>
      </c>
    </row>
    <row r="13" spans="1:13" x14ac:dyDescent="0.3">
      <c r="A13">
        <v>3508</v>
      </c>
      <c r="B13" t="s">
        <v>294</v>
      </c>
      <c r="C13" t="s">
        <v>18</v>
      </c>
      <c r="D13" s="16">
        <v>45625</v>
      </c>
      <c r="E13" t="s">
        <v>19</v>
      </c>
      <c r="F13">
        <v>15</v>
      </c>
      <c r="G13" t="s">
        <v>24</v>
      </c>
      <c r="H13" t="s">
        <v>19</v>
      </c>
      <c r="I13">
        <v>30</v>
      </c>
      <c r="J13" t="s">
        <v>19</v>
      </c>
      <c r="K13">
        <v>20</v>
      </c>
      <c r="L13">
        <v>3</v>
      </c>
      <c r="M13">
        <v>62</v>
      </c>
    </row>
    <row r="14" spans="1:13" x14ac:dyDescent="0.3">
      <c r="A14">
        <v>3505</v>
      </c>
      <c r="B14" t="s">
        <v>291</v>
      </c>
      <c r="C14" t="s">
        <v>18</v>
      </c>
      <c r="D14" s="16">
        <v>45622</v>
      </c>
      <c r="E14" t="s">
        <v>23</v>
      </c>
      <c r="F14">
        <v>15</v>
      </c>
      <c r="G14" t="s">
        <v>20</v>
      </c>
      <c r="H14" t="s">
        <v>19</v>
      </c>
      <c r="I14">
        <v>30</v>
      </c>
      <c r="J14" t="s">
        <v>19</v>
      </c>
      <c r="K14">
        <v>20</v>
      </c>
      <c r="L14">
        <v>20</v>
      </c>
      <c r="M14">
        <v>45</v>
      </c>
    </row>
    <row r="15" spans="1:13" x14ac:dyDescent="0.3">
      <c r="A15">
        <v>3242</v>
      </c>
      <c r="B15" t="s">
        <v>40</v>
      </c>
      <c r="C15" t="s">
        <v>18</v>
      </c>
      <c r="D15" s="16">
        <v>45359</v>
      </c>
      <c r="E15" t="s">
        <v>19</v>
      </c>
      <c r="F15">
        <v>15</v>
      </c>
      <c r="G15" t="s">
        <v>24</v>
      </c>
      <c r="H15" t="s">
        <v>19</v>
      </c>
      <c r="I15">
        <v>30</v>
      </c>
      <c r="J15" t="s">
        <v>19</v>
      </c>
      <c r="K15">
        <v>20</v>
      </c>
      <c r="L15">
        <v>20</v>
      </c>
      <c r="M15">
        <v>45</v>
      </c>
    </row>
    <row r="16" spans="1:13" x14ac:dyDescent="0.3">
      <c r="A16">
        <v>3502</v>
      </c>
      <c r="B16" t="s">
        <v>289</v>
      </c>
      <c r="C16" t="s">
        <v>18</v>
      </c>
      <c r="D16" s="16">
        <v>45619</v>
      </c>
      <c r="E16" t="s">
        <v>19</v>
      </c>
      <c r="F16">
        <v>15</v>
      </c>
      <c r="G16" t="s">
        <v>27</v>
      </c>
      <c r="H16" t="s">
        <v>19</v>
      </c>
      <c r="I16">
        <v>30</v>
      </c>
      <c r="J16" t="s">
        <v>19</v>
      </c>
      <c r="K16">
        <v>20</v>
      </c>
      <c r="L16">
        <v>7</v>
      </c>
      <c r="M16">
        <v>58</v>
      </c>
    </row>
    <row r="17" spans="1:13" x14ac:dyDescent="0.3">
      <c r="A17">
        <v>3499</v>
      </c>
      <c r="B17" t="s">
        <v>286</v>
      </c>
      <c r="C17" t="s">
        <v>18</v>
      </c>
      <c r="D17" s="16">
        <v>45616</v>
      </c>
      <c r="E17" t="s">
        <v>23</v>
      </c>
      <c r="F17">
        <v>15</v>
      </c>
      <c r="G17" t="s">
        <v>20</v>
      </c>
      <c r="H17" t="s">
        <v>19</v>
      </c>
      <c r="I17">
        <v>30</v>
      </c>
      <c r="J17" t="s">
        <v>19</v>
      </c>
      <c r="K17">
        <v>20</v>
      </c>
      <c r="L17">
        <v>3</v>
      </c>
      <c r="M17">
        <v>62</v>
      </c>
    </row>
    <row r="18" spans="1:13" x14ac:dyDescent="0.3">
      <c r="A18">
        <v>3245</v>
      </c>
      <c r="B18" t="s">
        <v>43</v>
      </c>
      <c r="C18" t="s">
        <v>18</v>
      </c>
      <c r="D18" s="16">
        <v>45362</v>
      </c>
      <c r="E18" t="s">
        <v>23</v>
      </c>
      <c r="F18">
        <v>15</v>
      </c>
      <c r="G18" t="s">
        <v>20</v>
      </c>
      <c r="H18" t="s">
        <v>19</v>
      </c>
      <c r="I18">
        <v>30</v>
      </c>
      <c r="J18" t="s">
        <v>19</v>
      </c>
      <c r="K18">
        <v>20</v>
      </c>
      <c r="L18">
        <v>8</v>
      </c>
      <c r="M18">
        <v>57</v>
      </c>
    </row>
    <row r="19" spans="1:13" x14ac:dyDescent="0.3">
      <c r="A19">
        <v>3496</v>
      </c>
      <c r="B19" t="s">
        <v>283</v>
      </c>
      <c r="C19" t="s">
        <v>18</v>
      </c>
      <c r="D19" s="16">
        <v>45613</v>
      </c>
      <c r="E19" t="s">
        <v>19</v>
      </c>
      <c r="F19">
        <v>15</v>
      </c>
      <c r="G19" t="s">
        <v>24</v>
      </c>
      <c r="H19" t="s">
        <v>19</v>
      </c>
      <c r="I19">
        <v>30</v>
      </c>
      <c r="J19" t="s">
        <v>19</v>
      </c>
      <c r="K19">
        <v>20</v>
      </c>
      <c r="L19">
        <v>5</v>
      </c>
      <c r="M19">
        <v>60</v>
      </c>
    </row>
    <row r="20" spans="1:13" x14ac:dyDescent="0.3">
      <c r="A20">
        <v>3493</v>
      </c>
      <c r="B20" t="s">
        <v>280</v>
      </c>
      <c r="C20" t="s">
        <v>18</v>
      </c>
      <c r="D20" s="16">
        <v>45610</v>
      </c>
      <c r="E20" t="s">
        <v>23</v>
      </c>
      <c r="F20">
        <v>15</v>
      </c>
      <c r="G20" t="s">
        <v>27</v>
      </c>
      <c r="H20" t="s">
        <v>19</v>
      </c>
      <c r="I20">
        <v>30</v>
      </c>
      <c r="J20" t="s">
        <v>19</v>
      </c>
      <c r="K20">
        <v>20</v>
      </c>
      <c r="L20">
        <v>20</v>
      </c>
      <c r="M20">
        <v>45</v>
      </c>
    </row>
    <row r="21" spans="1:13" x14ac:dyDescent="0.3">
      <c r="A21">
        <v>3248</v>
      </c>
      <c r="B21" t="s">
        <v>46</v>
      </c>
      <c r="C21" t="s">
        <v>18</v>
      </c>
      <c r="D21" s="16">
        <v>45365</v>
      </c>
      <c r="E21" t="s">
        <v>19</v>
      </c>
      <c r="F21">
        <v>15</v>
      </c>
      <c r="G21" t="s">
        <v>27</v>
      </c>
      <c r="H21" t="s">
        <v>19</v>
      </c>
      <c r="I21">
        <v>30</v>
      </c>
      <c r="J21" t="s">
        <v>19</v>
      </c>
      <c r="K21">
        <v>20</v>
      </c>
      <c r="L21">
        <v>7</v>
      </c>
      <c r="M21">
        <v>58</v>
      </c>
    </row>
    <row r="22" spans="1:13" x14ac:dyDescent="0.3">
      <c r="A22">
        <v>3490</v>
      </c>
      <c r="B22" t="s">
        <v>277</v>
      </c>
      <c r="C22" t="s">
        <v>18</v>
      </c>
      <c r="D22" s="16">
        <v>45607</v>
      </c>
      <c r="E22" t="s">
        <v>19</v>
      </c>
      <c r="F22">
        <v>15</v>
      </c>
      <c r="G22" t="s">
        <v>20</v>
      </c>
      <c r="H22" t="s">
        <v>19</v>
      </c>
      <c r="I22">
        <v>30</v>
      </c>
      <c r="J22" t="s">
        <v>19</v>
      </c>
      <c r="K22">
        <v>20</v>
      </c>
      <c r="L22">
        <v>15</v>
      </c>
      <c r="M22">
        <v>50</v>
      </c>
    </row>
    <row r="23" spans="1:13" x14ac:dyDescent="0.3">
      <c r="A23">
        <v>3487</v>
      </c>
      <c r="B23" t="s">
        <v>274</v>
      </c>
      <c r="C23" t="s">
        <v>18</v>
      </c>
      <c r="D23" s="16">
        <v>45604</v>
      </c>
      <c r="E23" t="s">
        <v>23</v>
      </c>
      <c r="F23">
        <v>15</v>
      </c>
      <c r="G23" t="s">
        <v>27</v>
      </c>
      <c r="H23" t="s">
        <v>19</v>
      </c>
      <c r="I23">
        <v>30</v>
      </c>
      <c r="J23" t="s">
        <v>19</v>
      </c>
      <c r="K23">
        <v>20</v>
      </c>
      <c r="L23">
        <v>7</v>
      </c>
      <c r="M23">
        <v>58</v>
      </c>
    </row>
    <row r="24" spans="1:13" x14ac:dyDescent="0.3">
      <c r="A24">
        <v>3251</v>
      </c>
      <c r="B24" t="s">
        <v>49</v>
      </c>
      <c r="C24" t="s">
        <v>18</v>
      </c>
      <c r="D24" s="16">
        <v>45368</v>
      </c>
      <c r="E24" t="s">
        <v>23</v>
      </c>
      <c r="F24">
        <v>15</v>
      </c>
      <c r="G24" t="s">
        <v>20</v>
      </c>
      <c r="H24" t="s">
        <v>19</v>
      </c>
      <c r="I24">
        <v>30</v>
      </c>
      <c r="J24" t="s">
        <v>19</v>
      </c>
      <c r="K24">
        <v>20</v>
      </c>
      <c r="L24">
        <v>3</v>
      </c>
      <c r="M24">
        <v>62</v>
      </c>
    </row>
    <row r="25" spans="1:13" x14ac:dyDescent="0.3">
      <c r="A25">
        <v>3485</v>
      </c>
      <c r="B25" t="s">
        <v>272</v>
      </c>
      <c r="C25" t="s">
        <v>18</v>
      </c>
      <c r="D25" s="16">
        <v>45602</v>
      </c>
      <c r="E25" t="s">
        <v>23</v>
      </c>
      <c r="F25">
        <v>15</v>
      </c>
      <c r="G25" t="s">
        <v>20</v>
      </c>
      <c r="H25" t="s">
        <v>19</v>
      </c>
      <c r="I25">
        <v>30</v>
      </c>
      <c r="J25" t="s">
        <v>19</v>
      </c>
      <c r="K25">
        <v>20</v>
      </c>
      <c r="L25">
        <v>15</v>
      </c>
      <c r="M25">
        <v>50</v>
      </c>
    </row>
    <row r="26" spans="1:13" x14ac:dyDescent="0.3">
      <c r="A26">
        <v>3482</v>
      </c>
      <c r="B26" t="s">
        <v>269</v>
      </c>
      <c r="C26" t="s">
        <v>18</v>
      </c>
      <c r="D26" s="16">
        <v>45599</v>
      </c>
      <c r="E26" t="s">
        <v>19</v>
      </c>
      <c r="F26">
        <v>15</v>
      </c>
      <c r="G26" t="s">
        <v>24</v>
      </c>
      <c r="H26" t="s">
        <v>19</v>
      </c>
      <c r="I26">
        <v>30</v>
      </c>
      <c r="J26" t="s">
        <v>19</v>
      </c>
      <c r="K26">
        <v>20</v>
      </c>
      <c r="L26">
        <v>3</v>
      </c>
      <c r="M26">
        <v>62</v>
      </c>
    </row>
    <row r="27" spans="1:13" x14ac:dyDescent="0.3">
      <c r="A27">
        <v>3254</v>
      </c>
      <c r="B27" t="s">
        <v>52</v>
      </c>
      <c r="C27" t="s">
        <v>18</v>
      </c>
      <c r="D27" s="16">
        <v>45371</v>
      </c>
      <c r="E27" t="s">
        <v>19</v>
      </c>
      <c r="F27">
        <v>15</v>
      </c>
      <c r="G27" t="s">
        <v>24</v>
      </c>
      <c r="H27" t="s">
        <v>19</v>
      </c>
      <c r="I27">
        <v>30</v>
      </c>
      <c r="J27" t="s">
        <v>19</v>
      </c>
      <c r="K27">
        <v>20</v>
      </c>
      <c r="L27">
        <v>20</v>
      </c>
      <c r="M27">
        <v>45</v>
      </c>
    </row>
    <row r="28" spans="1:13" x14ac:dyDescent="0.3">
      <c r="A28">
        <v>3479</v>
      </c>
      <c r="B28" t="s">
        <v>266</v>
      </c>
      <c r="C28" t="s">
        <v>18</v>
      </c>
      <c r="D28" s="16">
        <v>45596</v>
      </c>
      <c r="E28" t="s">
        <v>23</v>
      </c>
      <c r="F28">
        <v>15</v>
      </c>
      <c r="G28" t="s">
        <v>20</v>
      </c>
      <c r="H28" t="s">
        <v>19</v>
      </c>
      <c r="I28">
        <v>30</v>
      </c>
      <c r="J28" t="s">
        <v>19</v>
      </c>
      <c r="K28">
        <v>20</v>
      </c>
      <c r="L28">
        <v>20</v>
      </c>
      <c r="M28">
        <v>45</v>
      </c>
    </row>
    <row r="29" spans="1:13" x14ac:dyDescent="0.3">
      <c r="A29">
        <v>3476</v>
      </c>
      <c r="B29" t="s">
        <v>263</v>
      </c>
      <c r="C29" t="s">
        <v>18</v>
      </c>
      <c r="D29" s="16">
        <v>45593</v>
      </c>
      <c r="E29" t="s">
        <v>19</v>
      </c>
      <c r="F29">
        <v>15</v>
      </c>
      <c r="G29" t="s">
        <v>27</v>
      </c>
      <c r="H29" t="s">
        <v>19</v>
      </c>
      <c r="I29">
        <v>30</v>
      </c>
      <c r="J29" t="s">
        <v>19</v>
      </c>
      <c r="K29">
        <v>20</v>
      </c>
      <c r="L29">
        <v>7</v>
      </c>
      <c r="M29">
        <v>58</v>
      </c>
    </row>
    <row r="30" spans="1:13" x14ac:dyDescent="0.3">
      <c r="A30">
        <v>3257</v>
      </c>
      <c r="B30" t="s">
        <v>55</v>
      </c>
      <c r="C30" t="s">
        <v>18</v>
      </c>
      <c r="D30" s="16">
        <v>45374</v>
      </c>
      <c r="E30" t="s">
        <v>23</v>
      </c>
      <c r="F30">
        <v>15</v>
      </c>
      <c r="G30" t="s">
        <v>20</v>
      </c>
      <c r="H30" t="s">
        <v>19</v>
      </c>
      <c r="I30">
        <v>30</v>
      </c>
      <c r="J30" t="s">
        <v>19</v>
      </c>
      <c r="K30">
        <v>20</v>
      </c>
      <c r="L30">
        <v>5</v>
      </c>
      <c r="M30">
        <v>60</v>
      </c>
    </row>
    <row r="31" spans="1:13" x14ac:dyDescent="0.3">
      <c r="A31">
        <v>3473</v>
      </c>
      <c r="B31" t="s">
        <v>169</v>
      </c>
      <c r="C31" t="s">
        <v>18</v>
      </c>
      <c r="D31" s="16">
        <v>45590</v>
      </c>
      <c r="E31" t="s">
        <v>23</v>
      </c>
      <c r="F31">
        <v>15</v>
      </c>
      <c r="G31" t="s">
        <v>20</v>
      </c>
      <c r="H31" t="s">
        <v>19</v>
      </c>
      <c r="I31">
        <v>30</v>
      </c>
      <c r="J31" t="s">
        <v>19</v>
      </c>
      <c r="K31">
        <v>20</v>
      </c>
      <c r="L31">
        <v>3</v>
      </c>
      <c r="M31">
        <v>62</v>
      </c>
    </row>
    <row r="32" spans="1:13" x14ac:dyDescent="0.3">
      <c r="A32">
        <v>3470</v>
      </c>
      <c r="B32" t="s">
        <v>258</v>
      </c>
      <c r="C32" t="s">
        <v>18</v>
      </c>
      <c r="D32" s="16">
        <v>45587</v>
      </c>
      <c r="E32" t="s">
        <v>19</v>
      </c>
      <c r="F32">
        <v>15</v>
      </c>
      <c r="G32" t="s">
        <v>24</v>
      </c>
      <c r="H32" t="s">
        <v>19</v>
      </c>
      <c r="I32">
        <v>30</v>
      </c>
      <c r="J32" t="s">
        <v>19</v>
      </c>
      <c r="K32">
        <v>20</v>
      </c>
      <c r="L32">
        <v>5</v>
      </c>
      <c r="M32">
        <v>60</v>
      </c>
    </row>
    <row r="33" spans="1:13" x14ac:dyDescent="0.3">
      <c r="A33">
        <v>3260</v>
      </c>
      <c r="B33" t="s">
        <v>58</v>
      </c>
      <c r="C33" t="s">
        <v>18</v>
      </c>
      <c r="D33" s="16">
        <v>45377</v>
      </c>
      <c r="E33" t="s">
        <v>19</v>
      </c>
      <c r="F33">
        <v>15</v>
      </c>
      <c r="G33" t="s">
        <v>27</v>
      </c>
      <c r="H33" t="s">
        <v>19</v>
      </c>
      <c r="I33">
        <v>30</v>
      </c>
      <c r="J33" t="s">
        <v>19</v>
      </c>
      <c r="K33">
        <v>20</v>
      </c>
      <c r="L33">
        <v>7</v>
      </c>
      <c r="M33">
        <v>58</v>
      </c>
    </row>
    <row r="34" spans="1:13" x14ac:dyDescent="0.3">
      <c r="A34">
        <v>3467</v>
      </c>
      <c r="B34" t="s">
        <v>255</v>
      </c>
      <c r="C34" t="s">
        <v>18</v>
      </c>
      <c r="D34" s="16">
        <v>45584</v>
      </c>
      <c r="E34" t="s">
        <v>23</v>
      </c>
      <c r="F34">
        <v>15</v>
      </c>
      <c r="G34" t="s">
        <v>20</v>
      </c>
      <c r="H34" t="s">
        <v>19</v>
      </c>
      <c r="I34">
        <v>30</v>
      </c>
      <c r="J34" t="s">
        <v>19</v>
      </c>
      <c r="K34">
        <v>20</v>
      </c>
      <c r="L34">
        <v>15</v>
      </c>
      <c r="M34">
        <v>50</v>
      </c>
    </row>
    <row r="35" spans="1:13" x14ac:dyDescent="0.3">
      <c r="A35">
        <v>3464</v>
      </c>
      <c r="B35" t="s">
        <v>252</v>
      </c>
      <c r="C35" t="s">
        <v>18</v>
      </c>
      <c r="D35" s="16">
        <v>45581</v>
      </c>
      <c r="E35" t="s">
        <v>19</v>
      </c>
      <c r="F35">
        <v>15</v>
      </c>
      <c r="G35" t="s">
        <v>27</v>
      </c>
      <c r="H35" t="s">
        <v>19</v>
      </c>
      <c r="I35">
        <v>30</v>
      </c>
      <c r="J35" t="s">
        <v>19</v>
      </c>
      <c r="K35">
        <v>20</v>
      </c>
      <c r="L35">
        <v>7</v>
      </c>
      <c r="M35">
        <v>58</v>
      </c>
    </row>
    <row r="36" spans="1:13" x14ac:dyDescent="0.3">
      <c r="A36">
        <v>3263</v>
      </c>
      <c r="B36" t="s">
        <v>61</v>
      </c>
      <c r="C36" t="s">
        <v>18</v>
      </c>
      <c r="D36" s="16">
        <v>45380</v>
      </c>
      <c r="E36" t="s">
        <v>23</v>
      </c>
      <c r="F36">
        <v>15</v>
      </c>
      <c r="G36" t="s">
        <v>20</v>
      </c>
      <c r="H36" t="s">
        <v>19</v>
      </c>
      <c r="I36">
        <v>30</v>
      </c>
      <c r="J36" t="s">
        <v>19</v>
      </c>
      <c r="K36">
        <v>20</v>
      </c>
      <c r="L36">
        <v>3</v>
      </c>
      <c r="M36">
        <v>62</v>
      </c>
    </row>
    <row r="37" spans="1:13" x14ac:dyDescent="0.3">
      <c r="A37">
        <v>3461</v>
      </c>
      <c r="B37" t="s">
        <v>249</v>
      </c>
      <c r="C37" t="s">
        <v>18</v>
      </c>
      <c r="D37" s="16">
        <v>45578</v>
      </c>
      <c r="E37" t="s">
        <v>23</v>
      </c>
      <c r="F37">
        <v>15</v>
      </c>
      <c r="G37" t="s">
        <v>20</v>
      </c>
      <c r="H37" t="s">
        <v>19</v>
      </c>
      <c r="I37">
        <v>30</v>
      </c>
      <c r="J37" t="s">
        <v>19</v>
      </c>
      <c r="K37">
        <v>20</v>
      </c>
      <c r="L37">
        <v>15</v>
      </c>
      <c r="M37">
        <v>50</v>
      </c>
    </row>
    <row r="38" spans="1:13" x14ac:dyDescent="0.3">
      <c r="A38">
        <v>3458</v>
      </c>
      <c r="B38" t="s">
        <v>247</v>
      </c>
      <c r="C38" t="s">
        <v>18</v>
      </c>
      <c r="D38" s="16">
        <v>45575</v>
      </c>
      <c r="E38" t="s">
        <v>19</v>
      </c>
      <c r="F38">
        <v>15</v>
      </c>
      <c r="G38" t="s">
        <v>24</v>
      </c>
      <c r="H38" t="s">
        <v>19</v>
      </c>
      <c r="I38">
        <v>30</v>
      </c>
      <c r="J38" t="s">
        <v>19</v>
      </c>
      <c r="K38">
        <v>20</v>
      </c>
      <c r="L38">
        <v>3</v>
      </c>
      <c r="M38">
        <v>62</v>
      </c>
    </row>
    <row r="39" spans="1:13" x14ac:dyDescent="0.3">
      <c r="A39">
        <v>3455</v>
      </c>
      <c r="B39" t="s">
        <v>244</v>
      </c>
      <c r="C39" t="s">
        <v>18</v>
      </c>
      <c r="D39" s="16">
        <v>45572</v>
      </c>
      <c r="E39" t="s">
        <v>23</v>
      </c>
      <c r="F39">
        <v>15</v>
      </c>
      <c r="G39" t="s">
        <v>20</v>
      </c>
      <c r="H39" t="s">
        <v>19</v>
      </c>
      <c r="I39">
        <v>30</v>
      </c>
      <c r="J39" t="s">
        <v>19</v>
      </c>
      <c r="K39">
        <v>20</v>
      </c>
      <c r="L39">
        <v>20</v>
      </c>
      <c r="M39">
        <v>45</v>
      </c>
    </row>
    <row r="40" spans="1:13" x14ac:dyDescent="0.3">
      <c r="A40">
        <v>3267</v>
      </c>
      <c r="B40" t="s">
        <v>65</v>
      </c>
      <c r="C40" t="s">
        <v>18</v>
      </c>
      <c r="D40" s="16">
        <v>45384</v>
      </c>
      <c r="E40" t="s">
        <v>23</v>
      </c>
      <c r="F40">
        <v>15</v>
      </c>
      <c r="G40" t="s">
        <v>27</v>
      </c>
      <c r="H40" t="s">
        <v>19</v>
      </c>
      <c r="I40">
        <v>30</v>
      </c>
      <c r="J40" t="s">
        <v>19</v>
      </c>
      <c r="K40">
        <v>20</v>
      </c>
      <c r="L40">
        <v>7</v>
      </c>
      <c r="M40">
        <v>58</v>
      </c>
    </row>
    <row r="41" spans="1:13" x14ac:dyDescent="0.3">
      <c r="A41">
        <v>3452</v>
      </c>
      <c r="B41" t="s">
        <v>220</v>
      </c>
      <c r="C41" t="s">
        <v>18</v>
      </c>
      <c r="D41" s="16">
        <v>45569</v>
      </c>
      <c r="E41" t="s">
        <v>19</v>
      </c>
      <c r="F41">
        <v>15</v>
      </c>
      <c r="G41" t="s">
        <v>27</v>
      </c>
      <c r="H41" t="s">
        <v>19</v>
      </c>
      <c r="I41">
        <v>30</v>
      </c>
      <c r="J41" t="s">
        <v>19</v>
      </c>
      <c r="K41">
        <v>20</v>
      </c>
      <c r="L41">
        <v>7</v>
      </c>
      <c r="M41">
        <v>58</v>
      </c>
    </row>
    <row r="42" spans="1:13" x14ac:dyDescent="0.3">
      <c r="A42">
        <v>3449</v>
      </c>
      <c r="B42" t="s">
        <v>240</v>
      </c>
      <c r="C42" t="s">
        <v>18</v>
      </c>
      <c r="D42" s="16">
        <v>45566</v>
      </c>
      <c r="E42" t="s">
        <v>23</v>
      </c>
      <c r="F42">
        <v>15</v>
      </c>
      <c r="G42" t="s">
        <v>20</v>
      </c>
      <c r="H42" t="s">
        <v>19</v>
      </c>
      <c r="I42">
        <v>30</v>
      </c>
      <c r="J42" t="s">
        <v>19</v>
      </c>
      <c r="K42">
        <v>20</v>
      </c>
      <c r="L42">
        <v>3</v>
      </c>
      <c r="M42">
        <v>62</v>
      </c>
    </row>
    <row r="43" spans="1:13" x14ac:dyDescent="0.3">
      <c r="A43">
        <v>3270</v>
      </c>
      <c r="B43" t="s">
        <v>68</v>
      </c>
      <c r="C43" t="s">
        <v>18</v>
      </c>
      <c r="D43" s="16">
        <v>45387</v>
      </c>
      <c r="E43" t="s">
        <v>19</v>
      </c>
      <c r="F43">
        <v>15</v>
      </c>
      <c r="G43" t="s">
        <v>20</v>
      </c>
      <c r="H43" t="s">
        <v>19</v>
      </c>
      <c r="I43">
        <v>30</v>
      </c>
      <c r="J43" t="s">
        <v>19</v>
      </c>
      <c r="K43">
        <v>20</v>
      </c>
      <c r="L43">
        <v>15</v>
      </c>
      <c r="M43">
        <v>50</v>
      </c>
    </row>
    <row r="44" spans="1:13" x14ac:dyDescent="0.3">
      <c r="A44">
        <v>3446</v>
      </c>
      <c r="B44" t="s">
        <v>237</v>
      </c>
      <c r="C44" t="s">
        <v>18</v>
      </c>
      <c r="D44" s="16">
        <v>45563</v>
      </c>
      <c r="E44" t="s">
        <v>19</v>
      </c>
      <c r="F44">
        <v>15</v>
      </c>
      <c r="G44" t="s">
        <v>24</v>
      </c>
      <c r="H44" t="s">
        <v>19</v>
      </c>
      <c r="I44">
        <v>30</v>
      </c>
      <c r="J44" t="s">
        <v>19</v>
      </c>
      <c r="K44">
        <v>20</v>
      </c>
      <c r="L44">
        <v>5</v>
      </c>
      <c r="M44">
        <v>60</v>
      </c>
    </row>
    <row r="45" spans="1:13" x14ac:dyDescent="0.3">
      <c r="A45">
        <v>3443</v>
      </c>
      <c r="B45" t="s">
        <v>235</v>
      </c>
      <c r="C45" t="s">
        <v>18</v>
      </c>
      <c r="D45" s="16">
        <v>45560</v>
      </c>
      <c r="E45" t="s">
        <v>23</v>
      </c>
      <c r="F45">
        <v>15</v>
      </c>
      <c r="G45" t="s">
        <v>27</v>
      </c>
      <c r="H45" t="s">
        <v>19</v>
      </c>
      <c r="I45">
        <v>30</v>
      </c>
      <c r="J45" t="s">
        <v>19</v>
      </c>
      <c r="K45">
        <v>20</v>
      </c>
      <c r="L45">
        <v>20</v>
      </c>
      <c r="M45">
        <v>45</v>
      </c>
    </row>
    <row r="46" spans="1:13" x14ac:dyDescent="0.3">
      <c r="A46">
        <v>3273</v>
      </c>
      <c r="B46" t="s">
        <v>71</v>
      </c>
      <c r="C46" t="s">
        <v>18</v>
      </c>
      <c r="D46" s="16">
        <v>45390</v>
      </c>
      <c r="E46" t="s">
        <v>23</v>
      </c>
      <c r="F46">
        <v>15</v>
      </c>
      <c r="G46" t="s">
        <v>27</v>
      </c>
      <c r="H46" t="s">
        <v>19</v>
      </c>
      <c r="I46">
        <v>30</v>
      </c>
      <c r="J46" t="s">
        <v>19</v>
      </c>
      <c r="K46">
        <v>20</v>
      </c>
      <c r="L46">
        <v>20</v>
      </c>
      <c r="M46">
        <v>45</v>
      </c>
    </row>
    <row r="47" spans="1:13" x14ac:dyDescent="0.3">
      <c r="A47">
        <v>3440</v>
      </c>
      <c r="B47" t="s">
        <v>232</v>
      </c>
      <c r="C47" t="s">
        <v>18</v>
      </c>
      <c r="D47" s="16">
        <v>45557</v>
      </c>
      <c r="E47" t="s">
        <v>19</v>
      </c>
      <c r="F47">
        <v>15</v>
      </c>
      <c r="G47" t="s">
        <v>20</v>
      </c>
      <c r="H47" t="s">
        <v>19</v>
      </c>
      <c r="I47">
        <v>30</v>
      </c>
      <c r="J47" t="s">
        <v>19</v>
      </c>
      <c r="K47">
        <v>20</v>
      </c>
      <c r="L47">
        <v>15</v>
      </c>
      <c r="M47">
        <v>50</v>
      </c>
    </row>
    <row r="48" spans="1:13" x14ac:dyDescent="0.3">
      <c r="A48">
        <v>3437</v>
      </c>
      <c r="B48" t="s">
        <v>229</v>
      </c>
      <c r="C48" t="s">
        <v>18</v>
      </c>
      <c r="D48" s="16">
        <v>45554</v>
      </c>
      <c r="E48" t="s">
        <v>23</v>
      </c>
      <c r="F48">
        <v>15</v>
      </c>
      <c r="G48" t="s">
        <v>27</v>
      </c>
      <c r="H48" t="s">
        <v>19</v>
      </c>
      <c r="I48">
        <v>30</v>
      </c>
      <c r="J48" t="s">
        <v>19</v>
      </c>
      <c r="K48">
        <v>20</v>
      </c>
      <c r="L48">
        <v>7</v>
      </c>
      <c r="M48">
        <v>58</v>
      </c>
    </row>
    <row r="49" spans="1:13" x14ac:dyDescent="0.3">
      <c r="A49">
        <v>3276</v>
      </c>
      <c r="B49" t="s">
        <v>74</v>
      </c>
      <c r="C49" t="s">
        <v>18</v>
      </c>
      <c r="D49" s="16">
        <v>45393</v>
      </c>
      <c r="E49" t="s">
        <v>19</v>
      </c>
      <c r="F49">
        <v>15</v>
      </c>
      <c r="G49" t="s">
        <v>24</v>
      </c>
      <c r="H49" t="s">
        <v>19</v>
      </c>
      <c r="I49">
        <v>30</v>
      </c>
      <c r="J49" t="s">
        <v>19</v>
      </c>
      <c r="K49">
        <v>20</v>
      </c>
      <c r="L49">
        <v>5</v>
      </c>
      <c r="M49">
        <v>60</v>
      </c>
    </row>
    <row r="50" spans="1:13" x14ac:dyDescent="0.3">
      <c r="A50">
        <v>3434</v>
      </c>
      <c r="B50" t="s">
        <v>226</v>
      </c>
      <c r="C50" t="s">
        <v>18</v>
      </c>
      <c r="D50" s="16">
        <v>45551</v>
      </c>
      <c r="E50" t="s">
        <v>19</v>
      </c>
      <c r="F50">
        <v>15</v>
      </c>
      <c r="G50" t="s">
        <v>27</v>
      </c>
      <c r="H50" t="s">
        <v>19</v>
      </c>
      <c r="I50">
        <v>30</v>
      </c>
      <c r="J50" t="s">
        <v>19</v>
      </c>
      <c r="K50">
        <v>20</v>
      </c>
      <c r="L50">
        <v>7</v>
      </c>
      <c r="M50">
        <v>58</v>
      </c>
    </row>
    <row r="51" spans="1:13" x14ac:dyDescent="0.3">
      <c r="A51">
        <v>3431</v>
      </c>
      <c r="B51" t="s">
        <v>223</v>
      </c>
      <c r="C51" t="s">
        <v>18</v>
      </c>
      <c r="D51" s="16">
        <v>45548</v>
      </c>
      <c r="E51" t="s">
        <v>23</v>
      </c>
      <c r="F51">
        <v>15</v>
      </c>
      <c r="G51" t="s">
        <v>20</v>
      </c>
      <c r="H51" t="s">
        <v>19</v>
      </c>
      <c r="I51">
        <v>30</v>
      </c>
      <c r="J51" t="s">
        <v>19</v>
      </c>
      <c r="K51">
        <v>20</v>
      </c>
      <c r="L51">
        <v>15</v>
      </c>
      <c r="M51">
        <v>50</v>
      </c>
    </row>
    <row r="52" spans="1:13" x14ac:dyDescent="0.3">
      <c r="A52">
        <v>3279</v>
      </c>
      <c r="B52" t="s">
        <v>77</v>
      </c>
      <c r="C52" t="s">
        <v>18</v>
      </c>
      <c r="D52" s="16">
        <v>45396</v>
      </c>
      <c r="E52" t="s">
        <v>23</v>
      </c>
      <c r="F52">
        <v>15</v>
      </c>
      <c r="G52" t="s">
        <v>20</v>
      </c>
      <c r="H52" t="s">
        <v>19</v>
      </c>
      <c r="I52">
        <v>30</v>
      </c>
      <c r="J52" t="s">
        <v>19</v>
      </c>
      <c r="K52">
        <v>20</v>
      </c>
      <c r="L52">
        <v>3</v>
      </c>
      <c r="M52">
        <v>62</v>
      </c>
    </row>
    <row r="53" spans="1:13" x14ac:dyDescent="0.3">
      <c r="A53">
        <v>3428</v>
      </c>
      <c r="B53" t="s">
        <v>220</v>
      </c>
      <c r="C53" t="s">
        <v>18</v>
      </c>
      <c r="D53" s="16">
        <v>45545</v>
      </c>
      <c r="E53" t="s">
        <v>19</v>
      </c>
      <c r="F53">
        <v>15</v>
      </c>
      <c r="G53" t="s">
        <v>24</v>
      </c>
      <c r="H53" t="s">
        <v>19</v>
      </c>
      <c r="I53">
        <v>30</v>
      </c>
      <c r="J53" t="s">
        <v>19</v>
      </c>
      <c r="K53">
        <v>20</v>
      </c>
      <c r="L53">
        <v>3</v>
      </c>
      <c r="M53">
        <v>62</v>
      </c>
    </row>
    <row r="54" spans="1:13" x14ac:dyDescent="0.3">
      <c r="A54">
        <v>3425</v>
      </c>
      <c r="B54" t="s">
        <v>218</v>
      </c>
      <c r="C54" t="s">
        <v>18</v>
      </c>
      <c r="D54" s="16">
        <v>45542</v>
      </c>
      <c r="E54" t="s">
        <v>23</v>
      </c>
      <c r="F54">
        <v>15</v>
      </c>
      <c r="G54" t="s">
        <v>20</v>
      </c>
      <c r="H54" t="s">
        <v>19</v>
      </c>
      <c r="I54">
        <v>30</v>
      </c>
      <c r="J54" t="s">
        <v>19</v>
      </c>
      <c r="K54">
        <v>20</v>
      </c>
      <c r="L54">
        <v>20</v>
      </c>
      <c r="M54">
        <v>45</v>
      </c>
    </row>
    <row r="55" spans="1:13" x14ac:dyDescent="0.3">
      <c r="A55">
        <v>3282</v>
      </c>
      <c r="B55" t="s">
        <v>80</v>
      </c>
      <c r="C55" t="s">
        <v>18</v>
      </c>
      <c r="D55" s="16">
        <v>45399</v>
      </c>
      <c r="E55" t="s">
        <v>19</v>
      </c>
      <c r="F55">
        <v>15</v>
      </c>
      <c r="G55" t="s">
        <v>27</v>
      </c>
      <c r="H55" t="s">
        <v>19</v>
      </c>
      <c r="I55">
        <v>30</v>
      </c>
      <c r="J55" t="s">
        <v>19</v>
      </c>
      <c r="K55">
        <v>20</v>
      </c>
      <c r="L55">
        <v>7</v>
      </c>
      <c r="M55">
        <v>58</v>
      </c>
    </row>
    <row r="56" spans="1:13" x14ac:dyDescent="0.3">
      <c r="A56">
        <v>3422</v>
      </c>
      <c r="B56" t="s">
        <v>216</v>
      </c>
      <c r="C56" t="s">
        <v>18</v>
      </c>
      <c r="D56" s="16">
        <v>45539</v>
      </c>
      <c r="E56" t="s">
        <v>19</v>
      </c>
      <c r="F56">
        <v>15</v>
      </c>
      <c r="G56" t="s">
        <v>27</v>
      </c>
      <c r="H56" t="s">
        <v>19</v>
      </c>
      <c r="I56">
        <v>30</v>
      </c>
      <c r="J56" t="s">
        <v>19</v>
      </c>
      <c r="K56">
        <v>20</v>
      </c>
      <c r="L56">
        <v>7</v>
      </c>
      <c r="M56">
        <v>58</v>
      </c>
    </row>
    <row r="57" spans="1:13" x14ac:dyDescent="0.3">
      <c r="A57">
        <v>3419</v>
      </c>
      <c r="B57" t="s">
        <v>214</v>
      </c>
      <c r="C57" t="s">
        <v>18</v>
      </c>
      <c r="D57" s="16">
        <v>45536</v>
      </c>
      <c r="E57" t="s">
        <v>23</v>
      </c>
      <c r="F57">
        <v>15</v>
      </c>
      <c r="G57" t="s">
        <v>20</v>
      </c>
      <c r="H57" t="s">
        <v>19</v>
      </c>
      <c r="I57">
        <v>30</v>
      </c>
      <c r="J57" t="s">
        <v>19</v>
      </c>
      <c r="K57">
        <v>20</v>
      </c>
      <c r="L57">
        <v>3</v>
      </c>
      <c r="M57">
        <v>62</v>
      </c>
    </row>
    <row r="58" spans="1:13" x14ac:dyDescent="0.3">
      <c r="A58">
        <v>3285</v>
      </c>
      <c r="B58" t="s">
        <v>83</v>
      </c>
      <c r="C58" t="s">
        <v>18</v>
      </c>
      <c r="D58" s="16">
        <v>45402</v>
      </c>
      <c r="E58" t="s">
        <v>23</v>
      </c>
      <c r="F58">
        <v>15</v>
      </c>
      <c r="G58" t="s">
        <v>20</v>
      </c>
      <c r="H58" t="s">
        <v>19</v>
      </c>
      <c r="I58">
        <v>30</v>
      </c>
      <c r="J58" t="s">
        <v>19</v>
      </c>
      <c r="K58">
        <v>20</v>
      </c>
      <c r="L58">
        <v>20</v>
      </c>
      <c r="M58">
        <v>45</v>
      </c>
    </row>
    <row r="59" spans="1:13" x14ac:dyDescent="0.3">
      <c r="A59">
        <v>3416</v>
      </c>
      <c r="B59" t="s">
        <v>211</v>
      </c>
      <c r="C59" t="s">
        <v>18</v>
      </c>
      <c r="D59" s="16">
        <v>45533</v>
      </c>
      <c r="E59" t="s">
        <v>19</v>
      </c>
      <c r="F59">
        <v>15</v>
      </c>
      <c r="G59" t="s">
        <v>24</v>
      </c>
      <c r="H59" t="s">
        <v>19</v>
      </c>
      <c r="I59">
        <v>30</v>
      </c>
      <c r="J59" t="s">
        <v>19</v>
      </c>
      <c r="K59">
        <v>20</v>
      </c>
      <c r="L59">
        <v>5</v>
      </c>
      <c r="M59">
        <v>60</v>
      </c>
    </row>
    <row r="60" spans="1:13" x14ac:dyDescent="0.3">
      <c r="A60">
        <v>3413</v>
      </c>
      <c r="B60" t="s">
        <v>208</v>
      </c>
      <c r="C60" t="s">
        <v>18</v>
      </c>
      <c r="D60" s="16">
        <v>45530</v>
      </c>
      <c r="E60" t="s">
        <v>23</v>
      </c>
      <c r="F60">
        <v>15</v>
      </c>
      <c r="G60" t="s">
        <v>27</v>
      </c>
      <c r="H60" t="s">
        <v>19</v>
      </c>
      <c r="I60">
        <v>30</v>
      </c>
      <c r="J60" t="s">
        <v>19</v>
      </c>
      <c r="K60">
        <v>20</v>
      </c>
      <c r="L60">
        <v>20</v>
      </c>
      <c r="M60">
        <v>45</v>
      </c>
    </row>
    <row r="61" spans="1:13" x14ac:dyDescent="0.3">
      <c r="A61">
        <v>3288</v>
      </c>
      <c r="B61" t="s">
        <v>86</v>
      </c>
      <c r="C61" t="s">
        <v>18</v>
      </c>
      <c r="D61" s="16">
        <v>45405</v>
      </c>
      <c r="E61" t="s">
        <v>19</v>
      </c>
      <c r="F61">
        <v>15</v>
      </c>
      <c r="G61" t="s">
        <v>24</v>
      </c>
      <c r="H61" t="s">
        <v>19</v>
      </c>
      <c r="I61">
        <v>30</v>
      </c>
      <c r="J61" t="s">
        <v>19</v>
      </c>
      <c r="K61">
        <v>20</v>
      </c>
      <c r="L61">
        <v>3</v>
      </c>
      <c r="M61">
        <v>62</v>
      </c>
    </row>
    <row r="62" spans="1:13" x14ac:dyDescent="0.3">
      <c r="A62">
        <v>3410</v>
      </c>
      <c r="B62" t="s">
        <v>205</v>
      </c>
      <c r="C62" t="s">
        <v>18</v>
      </c>
      <c r="D62" s="16">
        <v>45527</v>
      </c>
      <c r="E62" t="s">
        <v>19</v>
      </c>
      <c r="F62">
        <v>15</v>
      </c>
      <c r="G62" t="s">
        <v>20</v>
      </c>
      <c r="H62" t="s">
        <v>19</v>
      </c>
      <c r="I62">
        <v>30</v>
      </c>
      <c r="J62" t="s">
        <v>19</v>
      </c>
      <c r="K62">
        <v>20</v>
      </c>
      <c r="L62">
        <v>15</v>
      </c>
      <c r="M62">
        <v>50</v>
      </c>
    </row>
    <row r="63" spans="1:13" x14ac:dyDescent="0.3">
      <c r="A63">
        <v>3407</v>
      </c>
      <c r="B63" t="s">
        <v>202</v>
      </c>
      <c r="C63" t="s">
        <v>18</v>
      </c>
      <c r="D63" s="16">
        <v>45524</v>
      </c>
      <c r="E63" t="s">
        <v>23</v>
      </c>
      <c r="F63">
        <v>15</v>
      </c>
      <c r="G63" t="s">
        <v>27</v>
      </c>
      <c r="H63" t="s">
        <v>19</v>
      </c>
      <c r="I63">
        <v>30</v>
      </c>
      <c r="J63" t="s">
        <v>19</v>
      </c>
      <c r="K63">
        <v>20</v>
      </c>
      <c r="L63">
        <v>7</v>
      </c>
      <c r="M63">
        <v>58</v>
      </c>
    </row>
    <row r="64" spans="1:13" x14ac:dyDescent="0.3">
      <c r="A64">
        <v>3291</v>
      </c>
      <c r="B64" t="s">
        <v>89</v>
      </c>
      <c r="C64" t="s">
        <v>18</v>
      </c>
      <c r="D64" s="16">
        <v>45408</v>
      </c>
      <c r="E64" t="s">
        <v>23</v>
      </c>
      <c r="F64">
        <v>15</v>
      </c>
      <c r="G64" t="s">
        <v>20</v>
      </c>
      <c r="H64" t="s">
        <v>19</v>
      </c>
      <c r="I64">
        <v>30</v>
      </c>
      <c r="J64" t="s">
        <v>19</v>
      </c>
      <c r="K64">
        <v>20</v>
      </c>
      <c r="L64">
        <v>5</v>
      </c>
      <c r="M64">
        <v>60</v>
      </c>
    </row>
    <row r="65" spans="1:13" x14ac:dyDescent="0.3">
      <c r="A65">
        <v>3403</v>
      </c>
      <c r="B65" t="s">
        <v>198</v>
      </c>
      <c r="C65" t="s">
        <v>18</v>
      </c>
      <c r="D65" s="16">
        <v>45520</v>
      </c>
      <c r="E65" t="s">
        <v>23</v>
      </c>
      <c r="F65">
        <v>15</v>
      </c>
      <c r="G65" t="s">
        <v>20</v>
      </c>
      <c r="H65" t="s">
        <v>19</v>
      </c>
      <c r="I65">
        <v>30</v>
      </c>
      <c r="J65" t="s">
        <v>19</v>
      </c>
      <c r="K65">
        <v>20</v>
      </c>
      <c r="L65">
        <v>3</v>
      </c>
      <c r="M65">
        <v>62</v>
      </c>
    </row>
    <row r="66" spans="1:13" x14ac:dyDescent="0.3">
      <c r="A66">
        <v>3400</v>
      </c>
      <c r="B66" t="s">
        <v>195</v>
      </c>
      <c r="C66" t="s">
        <v>18</v>
      </c>
      <c r="D66" s="16">
        <v>45517</v>
      </c>
      <c r="E66" t="s">
        <v>19</v>
      </c>
      <c r="F66">
        <v>15</v>
      </c>
      <c r="G66" t="s">
        <v>24</v>
      </c>
      <c r="H66" t="s">
        <v>19</v>
      </c>
      <c r="I66">
        <v>30</v>
      </c>
      <c r="J66" t="s">
        <v>19</v>
      </c>
      <c r="K66">
        <v>20</v>
      </c>
      <c r="L66">
        <v>5</v>
      </c>
      <c r="M66">
        <v>60</v>
      </c>
    </row>
    <row r="67" spans="1:13" x14ac:dyDescent="0.3">
      <c r="A67">
        <v>3294</v>
      </c>
      <c r="B67" t="s">
        <v>92</v>
      </c>
      <c r="C67" t="s">
        <v>18</v>
      </c>
      <c r="D67" s="16">
        <v>45411</v>
      </c>
      <c r="E67" t="s">
        <v>19</v>
      </c>
      <c r="F67">
        <v>15</v>
      </c>
      <c r="G67" t="s">
        <v>27</v>
      </c>
      <c r="H67" t="s">
        <v>19</v>
      </c>
      <c r="I67">
        <v>30</v>
      </c>
      <c r="J67" t="s">
        <v>19</v>
      </c>
      <c r="K67">
        <v>20</v>
      </c>
      <c r="L67">
        <v>20</v>
      </c>
      <c r="M67">
        <v>45</v>
      </c>
    </row>
    <row r="68" spans="1:13" x14ac:dyDescent="0.3">
      <c r="A68">
        <v>3397</v>
      </c>
      <c r="B68" t="s">
        <v>119</v>
      </c>
      <c r="C68" t="s">
        <v>18</v>
      </c>
      <c r="D68" s="16">
        <v>45514</v>
      </c>
      <c r="E68" t="s">
        <v>23</v>
      </c>
      <c r="F68">
        <v>15</v>
      </c>
      <c r="G68" t="s">
        <v>20</v>
      </c>
      <c r="H68" t="s">
        <v>19</v>
      </c>
      <c r="I68">
        <v>30</v>
      </c>
      <c r="J68" t="s">
        <v>19</v>
      </c>
      <c r="K68">
        <v>20</v>
      </c>
      <c r="L68">
        <v>20</v>
      </c>
      <c r="M68">
        <v>45</v>
      </c>
    </row>
    <row r="69" spans="1:13" x14ac:dyDescent="0.3">
      <c r="A69">
        <v>3394</v>
      </c>
      <c r="B69" t="s">
        <v>190</v>
      </c>
      <c r="C69" t="s">
        <v>18</v>
      </c>
      <c r="D69" s="16">
        <v>45511</v>
      </c>
      <c r="E69" t="s">
        <v>19</v>
      </c>
      <c r="F69">
        <v>15</v>
      </c>
      <c r="G69" t="s">
        <v>27</v>
      </c>
      <c r="H69" t="s">
        <v>19</v>
      </c>
      <c r="I69">
        <v>30</v>
      </c>
      <c r="J69" t="s">
        <v>19</v>
      </c>
      <c r="K69">
        <v>20</v>
      </c>
      <c r="L69">
        <v>7</v>
      </c>
      <c r="M69">
        <v>58</v>
      </c>
    </row>
    <row r="70" spans="1:13" x14ac:dyDescent="0.3">
      <c r="A70">
        <v>3297</v>
      </c>
      <c r="B70" t="s">
        <v>95</v>
      </c>
      <c r="C70" t="s">
        <v>18</v>
      </c>
      <c r="D70" s="16">
        <v>45414</v>
      </c>
      <c r="E70" t="s">
        <v>19</v>
      </c>
      <c r="F70">
        <v>15</v>
      </c>
      <c r="G70" t="s">
        <v>27</v>
      </c>
      <c r="H70" t="s">
        <v>19</v>
      </c>
      <c r="I70">
        <v>30</v>
      </c>
      <c r="J70" t="s">
        <v>19</v>
      </c>
      <c r="K70">
        <v>20</v>
      </c>
      <c r="L70">
        <v>7</v>
      </c>
      <c r="M70">
        <v>58</v>
      </c>
    </row>
    <row r="71" spans="1:13" x14ac:dyDescent="0.3">
      <c r="A71">
        <v>3391</v>
      </c>
      <c r="B71" t="s">
        <v>87</v>
      </c>
      <c r="C71" t="s">
        <v>18</v>
      </c>
      <c r="D71" s="16">
        <v>45508</v>
      </c>
      <c r="E71" t="s">
        <v>23</v>
      </c>
      <c r="F71">
        <v>15</v>
      </c>
      <c r="G71" t="s">
        <v>20</v>
      </c>
      <c r="H71" t="s">
        <v>19</v>
      </c>
      <c r="I71">
        <v>30</v>
      </c>
      <c r="J71" t="s">
        <v>19</v>
      </c>
      <c r="K71">
        <v>20</v>
      </c>
      <c r="L71">
        <v>15</v>
      </c>
      <c r="M71">
        <v>50</v>
      </c>
    </row>
    <row r="72" spans="1:13" x14ac:dyDescent="0.3">
      <c r="A72">
        <v>3388</v>
      </c>
      <c r="B72" t="s">
        <v>185</v>
      </c>
      <c r="C72" t="s">
        <v>18</v>
      </c>
      <c r="D72" s="16">
        <v>45505</v>
      </c>
      <c r="E72" t="s">
        <v>19</v>
      </c>
      <c r="F72">
        <v>15</v>
      </c>
      <c r="G72" t="s">
        <v>24</v>
      </c>
      <c r="H72" t="s">
        <v>19</v>
      </c>
      <c r="I72">
        <v>30</v>
      </c>
      <c r="J72" t="s">
        <v>19</v>
      </c>
      <c r="K72">
        <v>20</v>
      </c>
      <c r="L72">
        <v>3</v>
      </c>
      <c r="M72">
        <v>62</v>
      </c>
    </row>
    <row r="73" spans="1:13" x14ac:dyDescent="0.3">
      <c r="A73">
        <v>3300</v>
      </c>
      <c r="B73" t="s">
        <v>98</v>
      </c>
      <c r="C73" t="s">
        <v>18</v>
      </c>
      <c r="D73" s="16">
        <v>45417</v>
      </c>
      <c r="E73" t="s">
        <v>23</v>
      </c>
      <c r="F73">
        <v>15</v>
      </c>
      <c r="G73" t="s">
        <v>20</v>
      </c>
      <c r="H73" t="s">
        <v>19</v>
      </c>
      <c r="I73">
        <v>30</v>
      </c>
      <c r="J73" t="s">
        <v>19</v>
      </c>
      <c r="K73">
        <v>20</v>
      </c>
      <c r="L73">
        <v>15</v>
      </c>
      <c r="M73">
        <v>50</v>
      </c>
    </row>
    <row r="74" spans="1:13" x14ac:dyDescent="0.3">
      <c r="A74">
        <v>3385</v>
      </c>
      <c r="B74" t="s">
        <v>182</v>
      </c>
      <c r="C74" t="s">
        <v>18</v>
      </c>
      <c r="D74" s="16">
        <v>45502</v>
      </c>
      <c r="E74" t="s">
        <v>23</v>
      </c>
      <c r="F74">
        <v>15</v>
      </c>
      <c r="G74" t="s">
        <v>20</v>
      </c>
      <c r="H74" t="s">
        <v>19</v>
      </c>
      <c r="I74">
        <v>30</v>
      </c>
      <c r="J74" t="s">
        <v>19</v>
      </c>
      <c r="K74">
        <v>20</v>
      </c>
      <c r="L74">
        <v>20</v>
      </c>
      <c r="M74">
        <v>45</v>
      </c>
    </row>
    <row r="75" spans="1:13" x14ac:dyDescent="0.3">
      <c r="A75">
        <v>3382</v>
      </c>
      <c r="B75" t="s">
        <v>179</v>
      </c>
      <c r="C75" t="s">
        <v>18</v>
      </c>
      <c r="D75" s="16">
        <v>45499</v>
      </c>
      <c r="E75" t="s">
        <v>19</v>
      </c>
      <c r="F75">
        <v>15</v>
      </c>
      <c r="G75" t="s">
        <v>27</v>
      </c>
      <c r="H75" t="s">
        <v>19</v>
      </c>
      <c r="I75">
        <v>30</v>
      </c>
      <c r="J75" t="s">
        <v>19</v>
      </c>
      <c r="K75">
        <v>20</v>
      </c>
      <c r="L75">
        <v>7</v>
      </c>
      <c r="M75">
        <v>58</v>
      </c>
    </row>
    <row r="76" spans="1:13" x14ac:dyDescent="0.3">
      <c r="A76">
        <v>3303</v>
      </c>
      <c r="B76" t="s">
        <v>101</v>
      </c>
      <c r="C76" t="s">
        <v>18</v>
      </c>
      <c r="D76" s="16">
        <v>45420</v>
      </c>
      <c r="E76" t="s">
        <v>19</v>
      </c>
      <c r="F76">
        <v>15</v>
      </c>
      <c r="G76" t="s">
        <v>27</v>
      </c>
      <c r="H76" t="s">
        <v>19</v>
      </c>
      <c r="I76">
        <v>30</v>
      </c>
      <c r="J76" t="s">
        <v>19</v>
      </c>
      <c r="K76">
        <v>20</v>
      </c>
      <c r="L76">
        <v>20</v>
      </c>
      <c r="M76">
        <v>45</v>
      </c>
    </row>
    <row r="77" spans="1:13" x14ac:dyDescent="0.3">
      <c r="A77">
        <v>3379</v>
      </c>
      <c r="B77" t="s">
        <v>176</v>
      </c>
      <c r="C77" t="s">
        <v>18</v>
      </c>
      <c r="D77" s="16">
        <v>45496</v>
      </c>
      <c r="E77" t="s">
        <v>23</v>
      </c>
      <c r="F77">
        <v>15</v>
      </c>
      <c r="G77" t="s">
        <v>20</v>
      </c>
      <c r="H77" t="s">
        <v>19</v>
      </c>
      <c r="I77">
        <v>30</v>
      </c>
      <c r="J77" t="s">
        <v>19</v>
      </c>
      <c r="K77">
        <v>20</v>
      </c>
      <c r="L77">
        <v>3</v>
      </c>
      <c r="M77">
        <v>62</v>
      </c>
    </row>
    <row r="78" spans="1:13" x14ac:dyDescent="0.3">
      <c r="A78">
        <v>3376</v>
      </c>
      <c r="B78" t="s">
        <v>173</v>
      </c>
      <c r="C78" t="s">
        <v>18</v>
      </c>
      <c r="D78" s="16">
        <v>45493</v>
      </c>
      <c r="E78" t="s">
        <v>19</v>
      </c>
      <c r="F78">
        <v>15</v>
      </c>
      <c r="G78" t="s">
        <v>24</v>
      </c>
      <c r="H78" t="s">
        <v>19</v>
      </c>
      <c r="I78">
        <v>30</v>
      </c>
      <c r="J78" t="s">
        <v>19</v>
      </c>
      <c r="K78">
        <v>20</v>
      </c>
      <c r="L78">
        <v>5</v>
      </c>
      <c r="M78">
        <v>60</v>
      </c>
    </row>
    <row r="79" spans="1:13" x14ac:dyDescent="0.3">
      <c r="A79">
        <v>3306</v>
      </c>
      <c r="B79" t="s">
        <v>104</v>
      </c>
      <c r="C79" t="s">
        <v>18</v>
      </c>
      <c r="D79" s="16">
        <v>45423</v>
      </c>
      <c r="E79" t="s">
        <v>23</v>
      </c>
      <c r="F79">
        <v>15</v>
      </c>
      <c r="G79" t="s">
        <v>24</v>
      </c>
      <c r="H79" t="s">
        <v>19</v>
      </c>
      <c r="I79">
        <v>30</v>
      </c>
      <c r="J79" t="s">
        <v>19</v>
      </c>
      <c r="K79">
        <v>20</v>
      </c>
      <c r="L79">
        <v>5</v>
      </c>
      <c r="M79">
        <v>60</v>
      </c>
    </row>
    <row r="80" spans="1:13" x14ac:dyDescent="0.3">
      <c r="A80">
        <v>3373</v>
      </c>
      <c r="B80" t="s">
        <v>170</v>
      </c>
      <c r="C80" t="s">
        <v>18</v>
      </c>
      <c r="D80" s="16">
        <v>45490</v>
      </c>
      <c r="E80" t="s">
        <v>23</v>
      </c>
      <c r="F80">
        <v>15</v>
      </c>
      <c r="G80" t="s">
        <v>27</v>
      </c>
      <c r="H80" t="s">
        <v>19</v>
      </c>
      <c r="I80">
        <v>30</v>
      </c>
      <c r="J80" t="s">
        <v>19</v>
      </c>
      <c r="K80">
        <v>20</v>
      </c>
      <c r="L80">
        <v>20</v>
      </c>
      <c r="M80">
        <v>45</v>
      </c>
    </row>
    <row r="81" spans="1:13" x14ac:dyDescent="0.3">
      <c r="A81">
        <v>3370</v>
      </c>
      <c r="B81" t="s">
        <v>167</v>
      </c>
      <c r="C81" t="s">
        <v>18</v>
      </c>
      <c r="D81" s="16">
        <v>45487</v>
      </c>
      <c r="E81" t="s">
        <v>19</v>
      </c>
      <c r="F81">
        <v>15</v>
      </c>
      <c r="G81" t="s">
        <v>20</v>
      </c>
      <c r="H81" t="s">
        <v>19</v>
      </c>
      <c r="I81">
        <v>30</v>
      </c>
      <c r="J81" t="s">
        <v>19</v>
      </c>
      <c r="K81">
        <v>20</v>
      </c>
      <c r="L81">
        <v>15</v>
      </c>
      <c r="M81">
        <v>50</v>
      </c>
    </row>
    <row r="82" spans="1:13" x14ac:dyDescent="0.3">
      <c r="A82">
        <v>3309</v>
      </c>
      <c r="B82" t="s">
        <v>107</v>
      </c>
      <c r="C82" t="s">
        <v>18</v>
      </c>
      <c r="D82" s="16">
        <v>45426</v>
      </c>
      <c r="E82" t="s">
        <v>19</v>
      </c>
      <c r="F82">
        <v>15</v>
      </c>
      <c r="G82" t="s">
        <v>20</v>
      </c>
      <c r="H82" t="s">
        <v>19</v>
      </c>
      <c r="I82">
        <v>30</v>
      </c>
      <c r="J82" t="s">
        <v>19</v>
      </c>
      <c r="K82">
        <v>20</v>
      </c>
      <c r="L82">
        <v>3</v>
      </c>
      <c r="M82">
        <v>62</v>
      </c>
    </row>
    <row r="83" spans="1:13" x14ac:dyDescent="0.3">
      <c r="A83">
        <v>3367</v>
      </c>
      <c r="B83" t="s">
        <v>164</v>
      </c>
      <c r="C83" t="s">
        <v>18</v>
      </c>
      <c r="D83" s="16">
        <v>45484</v>
      </c>
      <c r="E83" t="s">
        <v>23</v>
      </c>
      <c r="F83">
        <v>15</v>
      </c>
      <c r="G83" t="s">
        <v>27</v>
      </c>
      <c r="H83" t="s">
        <v>19</v>
      </c>
      <c r="I83">
        <v>30</v>
      </c>
      <c r="J83" t="s">
        <v>19</v>
      </c>
      <c r="K83">
        <v>20</v>
      </c>
      <c r="L83">
        <v>7</v>
      </c>
      <c r="M83">
        <v>58</v>
      </c>
    </row>
    <row r="84" spans="1:13" x14ac:dyDescent="0.3">
      <c r="A84">
        <v>3364</v>
      </c>
      <c r="B84" t="s">
        <v>161</v>
      </c>
      <c r="C84" t="s">
        <v>18</v>
      </c>
      <c r="D84" s="16">
        <v>45481</v>
      </c>
      <c r="E84" t="s">
        <v>19</v>
      </c>
      <c r="F84">
        <v>15</v>
      </c>
      <c r="G84" t="s">
        <v>27</v>
      </c>
      <c r="H84" t="s">
        <v>19</v>
      </c>
      <c r="I84">
        <v>30</v>
      </c>
      <c r="J84" t="s">
        <v>19</v>
      </c>
      <c r="K84">
        <v>20</v>
      </c>
      <c r="L84">
        <v>7</v>
      </c>
      <c r="M84">
        <v>58</v>
      </c>
    </row>
    <row r="85" spans="1:13" x14ac:dyDescent="0.3">
      <c r="A85">
        <v>3312</v>
      </c>
      <c r="B85" t="s">
        <v>110</v>
      </c>
      <c r="C85" t="s">
        <v>18</v>
      </c>
      <c r="D85" s="16">
        <v>45429</v>
      </c>
      <c r="E85" t="s">
        <v>23</v>
      </c>
      <c r="F85">
        <v>15</v>
      </c>
      <c r="G85" t="s">
        <v>27</v>
      </c>
      <c r="H85" t="s">
        <v>19</v>
      </c>
      <c r="I85">
        <v>30</v>
      </c>
      <c r="J85" t="s">
        <v>19</v>
      </c>
      <c r="K85">
        <v>20</v>
      </c>
      <c r="L85">
        <v>7</v>
      </c>
      <c r="M85">
        <v>58</v>
      </c>
    </row>
    <row r="86" spans="1:13" x14ac:dyDescent="0.3">
      <c r="A86">
        <v>3361</v>
      </c>
      <c r="B86" t="s">
        <v>158</v>
      </c>
      <c r="C86" t="s">
        <v>18</v>
      </c>
      <c r="D86" s="16">
        <v>45478</v>
      </c>
      <c r="E86" t="s">
        <v>23</v>
      </c>
      <c r="F86">
        <v>15</v>
      </c>
      <c r="G86" t="s">
        <v>20</v>
      </c>
      <c r="H86" t="s">
        <v>19</v>
      </c>
      <c r="I86">
        <v>30</v>
      </c>
      <c r="J86" t="s">
        <v>19</v>
      </c>
      <c r="K86">
        <v>20</v>
      </c>
      <c r="L86">
        <v>15</v>
      </c>
      <c r="M86">
        <v>50</v>
      </c>
    </row>
    <row r="87" spans="1:13" x14ac:dyDescent="0.3">
      <c r="A87">
        <v>3358</v>
      </c>
      <c r="B87" t="s">
        <v>155</v>
      </c>
      <c r="C87" t="s">
        <v>18</v>
      </c>
      <c r="D87" s="16">
        <v>45475</v>
      </c>
      <c r="E87" t="s">
        <v>19</v>
      </c>
      <c r="F87">
        <v>15</v>
      </c>
      <c r="G87" t="s">
        <v>24</v>
      </c>
      <c r="H87" t="s">
        <v>19</v>
      </c>
      <c r="I87">
        <v>30</v>
      </c>
      <c r="J87" t="s">
        <v>19</v>
      </c>
      <c r="K87">
        <v>20</v>
      </c>
      <c r="L87">
        <v>3</v>
      </c>
      <c r="M87">
        <v>62</v>
      </c>
    </row>
    <row r="88" spans="1:13" x14ac:dyDescent="0.3">
      <c r="A88">
        <v>3315</v>
      </c>
      <c r="B88" t="s">
        <v>113</v>
      </c>
      <c r="C88" t="s">
        <v>18</v>
      </c>
      <c r="D88" s="16">
        <v>45432</v>
      </c>
      <c r="E88" t="s">
        <v>19</v>
      </c>
      <c r="F88">
        <v>15</v>
      </c>
      <c r="G88" t="s">
        <v>20</v>
      </c>
      <c r="H88" t="s">
        <v>19</v>
      </c>
      <c r="I88">
        <v>30</v>
      </c>
      <c r="J88" t="s">
        <v>19</v>
      </c>
      <c r="K88">
        <v>20</v>
      </c>
      <c r="L88">
        <v>20</v>
      </c>
      <c r="M88">
        <v>45</v>
      </c>
    </row>
    <row r="89" spans="1:13" x14ac:dyDescent="0.3">
      <c r="A89">
        <v>3355</v>
      </c>
      <c r="B89" t="s">
        <v>152</v>
      </c>
      <c r="C89" t="s">
        <v>18</v>
      </c>
      <c r="D89" s="16">
        <v>45472</v>
      </c>
      <c r="E89" t="s">
        <v>23</v>
      </c>
      <c r="F89">
        <v>15</v>
      </c>
      <c r="G89" t="s">
        <v>20</v>
      </c>
      <c r="H89" t="s">
        <v>19</v>
      </c>
      <c r="I89">
        <v>30</v>
      </c>
      <c r="J89" t="s">
        <v>19</v>
      </c>
      <c r="K89">
        <v>20</v>
      </c>
      <c r="L89">
        <v>20</v>
      </c>
      <c r="M89">
        <v>45</v>
      </c>
    </row>
    <row r="90" spans="1:13" x14ac:dyDescent="0.3">
      <c r="A90">
        <v>3352</v>
      </c>
      <c r="B90" t="s">
        <v>149</v>
      </c>
      <c r="C90" t="s">
        <v>18</v>
      </c>
      <c r="D90" s="16">
        <v>45469</v>
      </c>
      <c r="E90" t="s">
        <v>19</v>
      </c>
      <c r="F90">
        <v>15</v>
      </c>
      <c r="G90" t="s">
        <v>27</v>
      </c>
      <c r="H90" t="s">
        <v>19</v>
      </c>
      <c r="I90">
        <v>30</v>
      </c>
      <c r="J90" t="s">
        <v>19</v>
      </c>
      <c r="K90">
        <v>20</v>
      </c>
      <c r="L90">
        <v>7</v>
      </c>
      <c r="M90">
        <v>58</v>
      </c>
    </row>
    <row r="91" spans="1:13" x14ac:dyDescent="0.3">
      <c r="A91">
        <v>3318</v>
      </c>
      <c r="B91" t="s">
        <v>116</v>
      </c>
      <c r="C91" t="s">
        <v>18</v>
      </c>
      <c r="D91" s="16">
        <v>45435</v>
      </c>
      <c r="E91" t="s">
        <v>23</v>
      </c>
      <c r="F91">
        <v>15</v>
      </c>
      <c r="G91" t="s">
        <v>24</v>
      </c>
      <c r="H91" t="s">
        <v>19</v>
      </c>
      <c r="I91">
        <v>30</v>
      </c>
      <c r="J91" t="s">
        <v>19</v>
      </c>
      <c r="K91">
        <v>20</v>
      </c>
      <c r="L91">
        <v>3</v>
      </c>
      <c r="M91">
        <v>62</v>
      </c>
    </row>
    <row r="92" spans="1:13" x14ac:dyDescent="0.3">
      <c r="A92">
        <v>3349</v>
      </c>
      <c r="B92" t="s">
        <v>122</v>
      </c>
      <c r="C92" t="s">
        <v>18</v>
      </c>
      <c r="D92" s="16">
        <v>45466</v>
      </c>
      <c r="E92" t="s">
        <v>23</v>
      </c>
      <c r="F92">
        <v>15</v>
      </c>
      <c r="G92" t="s">
        <v>20</v>
      </c>
      <c r="H92" t="s">
        <v>19</v>
      </c>
      <c r="I92">
        <v>30</v>
      </c>
      <c r="J92" t="s">
        <v>19</v>
      </c>
      <c r="K92">
        <v>20</v>
      </c>
      <c r="L92">
        <v>3</v>
      </c>
      <c r="M92">
        <v>62</v>
      </c>
    </row>
    <row r="93" spans="1:13" x14ac:dyDescent="0.3">
      <c r="A93">
        <v>3346</v>
      </c>
      <c r="B93" t="s">
        <v>144</v>
      </c>
      <c r="C93" t="s">
        <v>18</v>
      </c>
      <c r="D93" s="16">
        <v>45463</v>
      </c>
      <c r="E93" t="s">
        <v>19</v>
      </c>
      <c r="F93">
        <v>15</v>
      </c>
      <c r="G93" t="s">
        <v>24</v>
      </c>
      <c r="H93" t="s">
        <v>19</v>
      </c>
      <c r="I93">
        <v>30</v>
      </c>
      <c r="J93" t="s">
        <v>19</v>
      </c>
      <c r="K93">
        <v>20</v>
      </c>
      <c r="L93">
        <v>5</v>
      </c>
      <c r="M93">
        <v>60</v>
      </c>
    </row>
    <row r="94" spans="1:13" x14ac:dyDescent="0.3">
      <c r="A94">
        <v>3321</v>
      </c>
      <c r="B94" t="s">
        <v>119</v>
      </c>
      <c r="C94" t="s">
        <v>18</v>
      </c>
      <c r="D94" s="16">
        <v>45438</v>
      </c>
      <c r="E94" t="s">
        <v>19</v>
      </c>
      <c r="F94">
        <v>15</v>
      </c>
      <c r="G94" t="s">
        <v>20</v>
      </c>
      <c r="H94" t="s">
        <v>19</v>
      </c>
      <c r="I94">
        <v>30</v>
      </c>
      <c r="J94" t="s">
        <v>19</v>
      </c>
      <c r="K94">
        <v>20</v>
      </c>
      <c r="L94">
        <v>5</v>
      </c>
      <c r="M94">
        <v>60</v>
      </c>
    </row>
    <row r="95" spans="1:13" x14ac:dyDescent="0.3">
      <c r="A95">
        <v>3343</v>
      </c>
      <c r="B95" t="s">
        <v>141</v>
      </c>
      <c r="C95" t="s">
        <v>18</v>
      </c>
      <c r="D95" s="16">
        <v>45460</v>
      </c>
      <c r="E95" t="s">
        <v>23</v>
      </c>
      <c r="F95">
        <v>15</v>
      </c>
      <c r="G95" t="s">
        <v>27</v>
      </c>
      <c r="H95" t="s">
        <v>19</v>
      </c>
      <c r="I95">
        <v>30</v>
      </c>
      <c r="J95" t="s">
        <v>19</v>
      </c>
      <c r="K95">
        <v>20</v>
      </c>
      <c r="L95">
        <v>20</v>
      </c>
      <c r="M95">
        <v>45</v>
      </c>
    </row>
    <row r="96" spans="1:13" x14ac:dyDescent="0.3">
      <c r="A96">
        <v>3340</v>
      </c>
      <c r="B96" t="s">
        <v>138</v>
      </c>
      <c r="C96" t="s">
        <v>18</v>
      </c>
      <c r="D96" s="16">
        <v>45457</v>
      </c>
      <c r="E96" t="s">
        <v>19</v>
      </c>
      <c r="F96">
        <v>15</v>
      </c>
      <c r="G96" t="s">
        <v>20</v>
      </c>
      <c r="H96" t="s">
        <v>19</v>
      </c>
      <c r="I96">
        <v>30</v>
      </c>
      <c r="J96" t="s">
        <v>19</v>
      </c>
      <c r="K96">
        <v>20</v>
      </c>
      <c r="L96">
        <v>15</v>
      </c>
      <c r="M96">
        <v>50</v>
      </c>
    </row>
    <row r="97" spans="1:13" x14ac:dyDescent="0.3">
      <c r="A97">
        <v>3324</v>
      </c>
      <c r="B97" t="s">
        <v>122</v>
      </c>
      <c r="C97" t="s">
        <v>18</v>
      </c>
      <c r="D97" s="16">
        <v>45441</v>
      </c>
      <c r="E97" t="s">
        <v>23</v>
      </c>
      <c r="F97">
        <v>15</v>
      </c>
      <c r="G97" t="s">
        <v>27</v>
      </c>
      <c r="H97" t="s">
        <v>19</v>
      </c>
      <c r="I97">
        <v>30</v>
      </c>
      <c r="J97" t="s">
        <v>19</v>
      </c>
      <c r="K97">
        <v>20</v>
      </c>
      <c r="L97">
        <v>20</v>
      </c>
      <c r="M97">
        <v>45</v>
      </c>
    </row>
    <row r="98" spans="1:13" x14ac:dyDescent="0.3">
      <c r="A98">
        <v>3337</v>
      </c>
      <c r="B98" t="s">
        <v>135</v>
      </c>
      <c r="C98" t="s">
        <v>18</v>
      </c>
      <c r="D98" s="16">
        <v>45454</v>
      </c>
      <c r="E98" t="s">
        <v>23</v>
      </c>
      <c r="F98">
        <v>15</v>
      </c>
      <c r="G98" t="s">
        <v>27</v>
      </c>
      <c r="H98" t="s">
        <v>19</v>
      </c>
      <c r="I98">
        <v>30</v>
      </c>
      <c r="J98" t="s">
        <v>19</v>
      </c>
      <c r="K98">
        <v>20</v>
      </c>
      <c r="L98">
        <v>7</v>
      </c>
      <c r="M98">
        <v>58</v>
      </c>
    </row>
    <row r="99" spans="1:13" x14ac:dyDescent="0.3">
      <c r="A99">
        <v>3333</v>
      </c>
      <c r="B99" t="s">
        <v>131</v>
      </c>
      <c r="C99" t="s">
        <v>18</v>
      </c>
      <c r="D99" s="16">
        <v>45450</v>
      </c>
      <c r="E99" t="s">
        <v>19</v>
      </c>
      <c r="F99">
        <v>15</v>
      </c>
      <c r="G99" t="s">
        <v>27</v>
      </c>
      <c r="H99" t="s">
        <v>19</v>
      </c>
      <c r="I99">
        <v>30</v>
      </c>
      <c r="J99" t="s">
        <v>19</v>
      </c>
      <c r="K99">
        <v>20</v>
      </c>
      <c r="L99">
        <v>20</v>
      </c>
      <c r="M99">
        <v>45</v>
      </c>
    </row>
    <row r="100" spans="1:13" x14ac:dyDescent="0.3">
      <c r="A100">
        <v>3327</v>
      </c>
      <c r="B100" t="s">
        <v>125</v>
      </c>
      <c r="C100" t="s">
        <v>18</v>
      </c>
      <c r="D100" s="16">
        <v>45444</v>
      </c>
      <c r="E100" t="s">
        <v>19</v>
      </c>
      <c r="F100">
        <v>15</v>
      </c>
      <c r="G100" t="s">
        <v>20</v>
      </c>
      <c r="H100" t="s">
        <v>19</v>
      </c>
      <c r="I100">
        <v>30</v>
      </c>
      <c r="J100" t="s">
        <v>19</v>
      </c>
      <c r="K100">
        <v>20</v>
      </c>
      <c r="L100">
        <v>7</v>
      </c>
      <c r="M100">
        <v>58</v>
      </c>
    </row>
    <row r="101" spans="1:13" x14ac:dyDescent="0.3">
      <c r="A101">
        <v>3330</v>
      </c>
      <c r="B101" t="s">
        <v>128</v>
      </c>
      <c r="C101" t="s">
        <v>18</v>
      </c>
      <c r="D101" s="16">
        <v>45447</v>
      </c>
      <c r="E101" t="s">
        <v>23</v>
      </c>
      <c r="F101">
        <v>15</v>
      </c>
      <c r="G101" t="s">
        <v>20</v>
      </c>
      <c r="H101" t="s">
        <v>19</v>
      </c>
      <c r="I101">
        <v>30</v>
      </c>
      <c r="J101" t="s">
        <v>19</v>
      </c>
      <c r="K101">
        <v>20</v>
      </c>
      <c r="L101">
        <v>15</v>
      </c>
      <c r="M101">
        <v>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D32"/>
  <sheetViews>
    <sheetView showGridLines="0" topLeftCell="A10" workbookViewId="0">
      <selection activeCell="D32" sqref="D32"/>
    </sheetView>
  </sheetViews>
  <sheetFormatPr defaultRowHeight="14.4" x14ac:dyDescent="0.3"/>
  <cols>
    <col min="2" max="2" width="16.77734375" bestFit="1" customWidth="1"/>
    <col min="3" max="4" width="32.21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3" x14ac:dyDescent="0.3">
      <c r="B3" t="s">
        <v>313</v>
      </c>
    </row>
    <row r="4" spans="2:3" x14ac:dyDescent="0.3">
      <c r="B4" t="s">
        <v>317</v>
      </c>
    </row>
    <row r="6" spans="2:3" x14ac:dyDescent="0.3">
      <c r="B6" s="12" t="s">
        <v>16</v>
      </c>
      <c r="C6" t="s">
        <v>27</v>
      </c>
    </row>
    <row r="8" spans="2:3" x14ac:dyDescent="0.3">
      <c r="B8" s="12" t="s">
        <v>314</v>
      </c>
      <c r="C8" t="s">
        <v>316</v>
      </c>
    </row>
    <row r="9" spans="2:3" x14ac:dyDescent="0.3">
      <c r="B9" s="13" t="s">
        <v>23</v>
      </c>
      <c r="C9" s="14">
        <v>806</v>
      </c>
    </row>
    <row r="10" spans="2:3" x14ac:dyDescent="0.3">
      <c r="B10" s="13" t="s">
        <v>19</v>
      </c>
      <c r="C10" s="14">
        <v>1502</v>
      </c>
    </row>
    <row r="11" spans="2:3" x14ac:dyDescent="0.3">
      <c r="B11" s="13" t="s">
        <v>315</v>
      </c>
      <c r="C11" s="14">
        <v>2308</v>
      </c>
    </row>
    <row r="13" spans="2:3" x14ac:dyDescent="0.3">
      <c r="B13" s="13" t="s">
        <v>319</v>
      </c>
    </row>
    <row r="15" spans="2:3" x14ac:dyDescent="0.3">
      <c r="B15" s="12" t="s">
        <v>16</v>
      </c>
      <c r="C15" t="s">
        <v>27</v>
      </c>
    </row>
    <row r="17" spans="2:4" x14ac:dyDescent="0.3">
      <c r="B17" s="12" t="s">
        <v>314</v>
      </c>
      <c r="C17" t="s">
        <v>320</v>
      </c>
    </row>
    <row r="18" spans="2:4" x14ac:dyDescent="0.3">
      <c r="B18" s="13" t="s">
        <v>22</v>
      </c>
      <c r="C18" s="18">
        <v>0</v>
      </c>
    </row>
    <row r="19" spans="2:4" x14ac:dyDescent="0.3">
      <c r="B19" s="13" t="s">
        <v>26</v>
      </c>
      <c r="C19" s="18">
        <v>0</v>
      </c>
    </row>
    <row r="20" spans="2:4" x14ac:dyDescent="0.3">
      <c r="B20" s="13" t="s">
        <v>18</v>
      </c>
      <c r="C20" s="18">
        <v>990</v>
      </c>
    </row>
    <row r="21" spans="2:4" x14ac:dyDescent="0.3">
      <c r="B21" s="13" t="s">
        <v>315</v>
      </c>
      <c r="C21" s="18">
        <v>990</v>
      </c>
      <c r="D21" s="19">
        <f>GETPIVOTDATA("EA Play Season Pass
Price",$B$17)</f>
        <v>990</v>
      </c>
    </row>
    <row r="24" spans="2:4" x14ac:dyDescent="0.3">
      <c r="B24" t="s">
        <v>319</v>
      </c>
    </row>
    <row r="26" spans="2:4" x14ac:dyDescent="0.3">
      <c r="B26" s="12" t="s">
        <v>16</v>
      </c>
      <c r="C26" t="s">
        <v>27</v>
      </c>
    </row>
    <row r="28" spans="2:4" x14ac:dyDescent="0.3">
      <c r="B28" s="12" t="s">
        <v>314</v>
      </c>
      <c r="C28" t="s">
        <v>322</v>
      </c>
    </row>
    <row r="29" spans="2:4" x14ac:dyDescent="0.3">
      <c r="B29" s="13" t="s">
        <v>22</v>
      </c>
      <c r="C29" s="14">
        <v>0</v>
      </c>
    </row>
    <row r="30" spans="2:4" x14ac:dyDescent="0.3">
      <c r="B30" s="13" t="s">
        <v>26</v>
      </c>
      <c r="C30" s="14">
        <v>480</v>
      </c>
    </row>
    <row r="31" spans="2:4" x14ac:dyDescent="0.3">
      <c r="B31" s="13" t="s">
        <v>18</v>
      </c>
      <c r="C31" s="14">
        <v>660</v>
      </c>
    </row>
    <row r="32" spans="2:4" x14ac:dyDescent="0.3">
      <c r="B32" s="13" t="s">
        <v>315</v>
      </c>
      <c r="C32" s="14">
        <v>1140</v>
      </c>
      <c r="D32" s="19">
        <f>GETPIVOTDATA("Minecraft Season Pass Price",$B$28)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E166"/>
  <sheetViews>
    <sheetView showGridLines="0" showRowColHeaders="0" tabSelected="1" zoomScale="80" zoomScaleNormal="80" workbookViewId="0">
      <selection activeCell="C10" sqref="C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8.109375" style="4" customWidth="1"/>
    <col min="2" max="2" width="3.5546875" customWidth="1"/>
    <col min="12" max="12" width="6.5546875" customWidth="1"/>
  </cols>
  <sheetData>
    <row r="2" spans="2:31" ht="39" customHeight="1" thickBot="1" x14ac:dyDescent="0.6">
      <c r="C2" s="21" t="s">
        <v>318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20"/>
      <c r="Q2" s="20"/>
      <c r="R2" s="20"/>
      <c r="S2" s="20"/>
    </row>
    <row r="3" spans="2:31" ht="19.8" customHeight="1" thickTop="1" x14ac:dyDescent="0.3"/>
    <row r="4" spans="2:31" ht="7.8" customHeight="1" x14ac:dyDescent="0.3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2:31" ht="7.5" customHeight="1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2:31" ht="10.5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2:31" ht="9.75" customHeight="1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2:31" ht="33" customHeight="1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2:31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2:31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2:31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2:31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2:31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2:31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2:31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2:31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2:31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2:31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2:31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2:31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2:31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2:31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2:31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2:31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2:31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2:31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2:31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2:31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2:31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2:31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2:31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2:31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2:31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2:31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2:31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2:31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2:31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2:31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2:31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2:31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2:31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2:31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2:31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2:31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2:31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2:31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2:31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2:31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2:31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2:31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2:31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2:31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2:31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2:31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2:31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2:31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2:31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2:31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2:31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2:31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2:31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2:31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2:31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2:31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2:31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2:31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2:31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2:31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2:31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2:31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2:31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2:31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2:31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2:31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2:31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2:31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2:31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2:31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2:31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2:31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2:31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2:31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2:31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2:31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2:31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2:31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2:31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2:31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2:31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2:31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2:31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2:31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2:31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2:31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2:31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2:31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2:31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2:31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2:31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2:31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2:31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2:31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2:31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2:31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2:31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2:31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2:31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2:31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2:31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2:31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2:31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2:31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2:31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2:31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2:31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2:31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2:31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2:31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2:31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2:31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2:31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2:31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2:31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2:31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2:31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2:31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2:31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2:31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2:31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2:31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2:31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2:31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2:31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2:31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2:31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2:31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2:31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2:31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2:31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2:31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2:31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2:31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2:31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2:31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2:31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2:31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2:31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2:31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2:31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2:31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2:31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2:31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2:31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2:31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2:31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2:31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2:31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2:31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2:31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2:31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2:31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2:31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2:31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2:31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2:31" x14ac:dyDescent="0.3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2:31" x14ac:dyDescent="0.3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Detalhes1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LARISSA BIAJANTE</cp:lastModifiedBy>
  <dcterms:created xsi:type="dcterms:W3CDTF">2024-12-19T13:13:10Z</dcterms:created>
  <dcterms:modified xsi:type="dcterms:W3CDTF">2026-02-15T01:55:29Z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